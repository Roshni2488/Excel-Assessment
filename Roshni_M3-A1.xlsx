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shni\Downloads\"/>
    </mc:Choice>
  </mc:AlternateContent>
  <xr:revisionPtr revIDLastSave="0" documentId="13_ncr:1_{EEA2E5E6-58DC-438E-80E5-15F35903F91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Sheet1" sheetId="17" r:id="rId2"/>
    <sheet name="Section A Answers" sheetId="2" r:id="rId3"/>
    <sheet name="Task 1 Orders" sheetId="3" r:id="rId4"/>
    <sheet name="Premium Orders" sheetId="4" r:id="rId5"/>
    <sheet name="Restaurants" sheetId="5" r:id="rId6"/>
    <sheet name="Task 2 Orders" sheetId="6" r:id="rId7"/>
    <sheet name="Task 3 Orders" sheetId="7" r:id="rId8"/>
    <sheet name="Task 3 Pivot 1" sheetId="8" r:id="rId9"/>
    <sheet name="Task 3 Pivot 2" sheetId="9" r:id="rId10"/>
    <sheet name="Task 3 Slicer Timeline" sheetId="10" r:id="rId11"/>
    <sheet name="Task 4 Orders" sheetId="11" r:id="rId12"/>
    <sheet name="Stats Summary" sheetId="12" r:id="rId13"/>
    <sheet name="Capstone Orders" sheetId="13" r:id="rId14"/>
    <sheet name="Zone Stats" sheetId="14" r:id="rId15"/>
    <sheet name="Dashboard" sheetId="15" r:id="rId16"/>
    <sheet name="Section D AI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5" l="1"/>
  <c r="E16" i="15"/>
  <c r="D16" i="15"/>
  <c r="C16" i="15"/>
  <c r="B16" i="15"/>
  <c r="F15" i="15"/>
  <c r="E15" i="15"/>
  <c r="D15" i="15"/>
  <c r="C15" i="15"/>
  <c r="B15" i="15"/>
  <c r="F14" i="15"/>
  <c r="E14" i="15"/>
  <c r="D14" i="15"/>
  <c r="C14" i="15"/>
  <c r="B14" i="15"/>
  <c r="F13" i="15"/>
  <c r="E13" i="15"/>
  <c r="D13" i="15"/>
  <c r="C13" i="15"/>
  <c r="B13" i="15"/>
  <c r="F12" i="15"/>
  <c r="E12" i="15"/>
  <c r="D12" i="15"/>
  <c r="C12" i="15"/>
  <c r="B12" i="15"/>
  <c r="B6" i="15"/>
  <c r="B5" i="15"/>
  <c r="B4" i="15"/>
  <c r="G6" i="14"/>
  <c r="F6" i="14"/>
  <c r="E6" i="14"/>
  <c r="D6" i="14"/>
  <c r="C6" i="14"/>
  <c r="B6" i="14"/>
  <c r="F5" i="14"/>
  <c r="E5" i="14"/>
  <c r="D5" i="14"/>
  <c r="C5" i="14"/>
  <c r="B5" i="14"/>
  <c r="G5" i="14" s="1"/>
  <c r="G4" i="14"/>
  <c r="F4" i="14"/>
  <c r="E4" i="14"/>
  <c r="D4" i="14"/>
  <c r="C4" i="14"/>
  <c r="B4" i="14"/>
  <c r="F3" i="14"/>
  <c r="E3" i="14"/>
  <c r="D3" i="14"/>
  <c r="C3" i="14"/>
  <c r="B3" i="14"/>
  <c r="G3" i="14" s="1"/>
  <c r="G2" i="14"/>
  <c r="F2" i="14"/>
  <c r="E2" i="14"/>
  <c r="D2" i="14"/>
  <c r="C2" i="14"/>
  <c r="B2" i="14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5" i="13"/>
  <c r="J5" i="13"/>
  <c r="K4" i="13"/>
  <c r="J4" i="13"/>
  <c r="K3" i="13"/>
  <c r="J3" i="13"/>
  <c r="K2" i="13"/>
  <c r="J2" i="13"/>
  <c r="B10" i="12"/>
  <c r="B9" i="12"/>
  <c r="B8" i="12"/>
  <c r="B7" i="12"/>
  <c r="B6" i="12"/>
  <c r="B5" i="12"/>
  <c r="B4" i="12"/>
  <c r="B3" i="12"/>
  <c r="B2" i="12"/>
  <c r="B12" i="8"/>
  <c r="F9" i="8"/>
  <c r="E9" i="8"/>
  <c r="D9" i="8"/>
  <c r="C9" i="8"/>
  <c r="B9" i="8"/>
  <c r="G9" i="8" s="1"/>
  <c r="F8" i="8"/>
  <c r="E8" i="8"/>
  <c r="D8" i="8"/>
  <c r="C8" i="8"/>
  <c r="B8" i="8"/>
  <c r="G8" i="8" s="1"/>
  <c r="F7" i="8"/>
  <c r="E7" i="8"/>
  <c r="D7" i="8"/>
  <c r="C7" i="8"/>
  <c r="B7" i="8"/>
  <c r="G7" i="8" s="1"/>
  <c r="F6" i="8"/>
  <c r="F10" i="8" s="1"/>
  <c r="E6" i="8"/>
  <c r="E10" i="8" s="1"/>
  <c r="D6" i="8"/>
  <c r="C6" i="8"/>
  <c r="C10" i="8" s="1"/>
  <c r="B6" i="8"/>
  <c r="G6" i="8" s="1"/>
  <c r="F5" i="8"/>
  <c r="E5" i="8"/>
  <c r="D5" i="8"/>
  <c r="D10" i="8" s="1"/>
  <c r="C5" i="8"/>
  <c r="B5" i="8"/>
  <c r="G5" i="8" s="1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H5" i="6"/>
  <c r="E5" i="6"/>
  <c r="D5" i="6"/>
  <c r="H4" i="6"/>
  <c r="E4" i="6"/>
  <c r="D4" i="6"/>
  <c r="E3" i="6"/>
  <c r="D3" i="6"/>
  <c r="E2" i="6"/>
  <c r="H3" i="6" s="1"/>
  <c r="D2" i="6"/>
  <c r="G10" i="8" l="1"/>
  <c r="B10" i="8"/>
  <c r="B12" i="12"/>
  <c r="H6" i="6"/>
  <c r="B13" i="12"/>
  <c r="H7" i="6"/>
  <c r="B11" i="12"/>
  <c r="I97" i="11" s="1"/>
  <c r="I68" i="11" l="1"/>
  <c r="I65" i="11"/>
  <c r="I86" i="11"/>
  <c r="I25" i="11"/>
  <c r="I120" i="11"/>
  <c r="I26" i="11"/>
  <c r="I87" i="11"/>
  <c r="I9" i="11"/>
  <c r="I102" i="11"/>
  <c r="I107" i="11"/>
  <c r="I51" i="11"/>
  <c r="I100" i="11"/>
  <c r="I75" i="11"/>
  <c r="I108" i="11"/>
  <c r="I116" i="11"/>
  <c r="I88" i="11"/>
  <c r="I104" i="11"/>
  <c r="I15" i="11"/>
  <c r="I109" i="11"/>
  <c r="I93" i="11"/>
  <c r="I42" i="11"/>
  <c r="I40" i="11"/>
  <c r="I73" i="11"/>
  <c r="I56" i="11"/>
  <c r="I30" i="11"/>
  <c r="I95" i="11"/>
  <c r="I74" i="11"/>
  <c r="I59" i="11"/>
  <c r="I69" i="11"/>
  <c r="I18" i="11"/>
  <c r="I41" i="11"/>
  <c r="I16" i="11"/>
  <c r="I62" i="11"/>
  <c r="I35" i="11"/>
  <c r="I57" i="11"/>
  <c r="I29" i="11"/>
  <c r="I4" i="11"/>
  <c r="I50" i="11"/>
  <c r="I37" i="11"/>
  <c r="I45" i="11"/>
  <c r="I63" i="11"/>
  <c r="I94" i="11"/>
  <c r="I38" i="11"/>
  <c r="I8" i="11"/>
  <c r="I82" i="11"/>
  <c r="I111" i="11"/>
  <c r="I13" i="11"/>
  <c r="I21" i="11"/>
  <c r="I12" i="11"/>
  <c r="I99" i="11"/>
  <c r="I112" i="11"/>
  <c r="I14" i="11"/>
  <c r="I90" i="11"/>
  <c r="I27" i="11"/>
  <c r="I72" i="11"/>
  <c r="I84" i="11"/>
  <c r="I101" i="11"/>
  <c r="I76" i="11"/>
  <c r="I24" i="11"/>
  <c r="I92" i="11"/>
  <c r="I66" i="11"/>
  <c r="I89" i="11"/>
  <c r="I60" i="11"/>
  <c r="I64" i="11"/>
  <c r="I110" i="11"/>
  <c r="I119" i="11"/>
  <c r="I79" i="11"/>
  <c r="I7" i="11"/>
  <c r="I58" i="11"/>
  <c r="I55" i="11"/>
  <c r="I70" i="11"/>
  <c r="I46" i="11"/>
  <c r="I10" i="11"/>
  <c r="I118" i="11"/>
  <c r="I34" i="11"/>
  <c r="I115" i="11"/>
  <c r="I67" i="11"/>
  <c r="I43" i="11"/>
  <c r="I19" i="11"/>
  <c r="I103" i="11"/>
  <c r="I31" i="11"/>
  <c r="I106" i="11"/>
  <c r="I22" i="11"/>
  <c r="I91" i="11"/>
  <c r="I71" i="11"/>
  <c r="I81" i="11"/>
  <c r="I53" i="11"/>
  <c r="I28" i="11"/>
  <c r="I61" i="11"/>
  <c r="I44" i="11"/>
  <c r="I47" i="11"/>
  <c r="I49" i="11"/>
  <c r="I32" i="11"/>
  <c r="I6" i="11"/>
  <c r="I23" i="11"/>
  <c r="I11" i="11"/>
  <c r="I20" i="11"/>
  <c r="I17" i="11"/>
  <c r="I3" i="11"/>
  <c r="I33" i="11"/>
  <c r="I5" i="11"/>
  <c r="I2" i="11"/>
  <c r="I114" i="11"/>
  <c r="I48" i="11"/>
  <c r="I113" i="11"/>
  <c r="I39" i="11"/>
  <c r="I121" i="11"/>
  <c r="I78" i="11"/>
  <c r="I96" i="11"/>
  <c r="I105" i="11"/>
  <c r="I80" i="11"/>
  <c r="I54" i="11"/>
  <c r="I77" i="11"/>
  <c r="I36" i="11"/>
  <c r="I52" i="11"/>
  <c r="I98" i="11"/>
  <c r="I83" i="11"/>
  <c r="I85" i="11"/>
  <c r="I117" i="11"/>
</calcChain>
</file>

<file path=xl/sharedStrings.xml><?xml version="1.0" encoding="utf-8"?>
<sst xmlns="http://schemas.openxmlformats.org/spreadsheetml/2006/main" count="2136" uniqueCount="404">
  <si>
    <t>DATA ANALYTICS M3-A1</t>
  </si>
  <si>
    <t>Student</t>
  </si>
  <si>
    <t>Roshni Singh</t>
  </si>
  <si>
    <t>File</t>
  </si>
  <si>
    <t>Roshni_M3-A1.xlsx</t>
  </si>
  <si>
    <t>Contents</t>
  </si>
  <si>
    <t>Section A, B Tasks 1-4, Section C Capstone, Section D AI/Python</t>
  </si>
  <si>
    <t>Question</t>
  </si>
  <si>
    <t>Answer</t>
  </si>
  <si>
    <t>Q1</t>
  </si>
  <si>
    <t>Last-month totals are Descriptive because they summarize what happened using total orders, revenue and cancellation rate. Week 3 delay diagnosis is Diagnostic because it investigates why delays increased by 40%. Next-quarter order volume forecasting is Predictive because it estimates future demand from historical patterns. Prescriptive analysis recommends actions after considering predicted outcomes. Inputs include order, revenue, cancellation, delivery-time and historical-volume data; outputs are summaries, causes and forecasts.</t>
  </si>
  <si>
    <t>Q2</t>
  </si>
  <si>
    <t>Business-health KPIs can include Total Revenue = SUM(Revenue) and Cancellation Rate = Cancelled Orders / Total Orders × 100. Higher revenue indicates more sales, while a rising cancellation rate indicates more cancelled orders. Retention KPIs can include Repeat Customer Rate = Repeat Customers / Total Customers × 100 and Retention Rate = Retained Customers / Customers at Start × 100. These connect financial performance with customer behavior.</t>
  </si>
  <si>
    <t>Q3</t>
  </si>
  <si>
    <t>Mean delivery time (38) is higher than median (29), so the distribution is likely right-skewed because slow observations pull the mean upward. Median is preferable for typical delivery time because it is less affected by extremes. SD=24 means substantial spread around the mean. The 60 GPS-error orders should be investigated and removed/corrected if they are confirmed data errors; genuine extremes should be retained or capped only with a documented rule.</t>
  </si>
  <si>
    <t>Q4</t>
  </si>
  <si>
    <t>Use a two-sample test such as a t-test when comparing average order value before and after the campaign, assuming suitable assumptions. H0: no change in mean order value. H1: mean order value changed. p=.03 is below .05, so the result is statistically significant at 95% confidence. Communicate the statistical result together with the size of the change and practical business impact.</t>
  </si>
  <si>
    <t>Q5</t>
  </si>
  <si>
    <t>VLOOKUP can pull RestaurantName but has a left-to-right structure. XLOOKUP is more flexible: =XLOOKUP(C2,Restaurants!$A$2:$A$100,Restaurants!$B$2:$B$100,"Not Listed"). C2 is the RestaurantID, first range is lookup array, second is return array, and fourth argument handles missing IDs. INDEX-MATCH for Zone: =INDEX(Restaurants!$C$2:$C$100,MATCH(C2,Restaurants!$A$2:$A$100,0)). MATCH finds the row and INDEX returns the Zone.</t>
  </si>
  <si>
    <t>Q6</t>
  </si>
  <si>
    <t>Use Pivot Tables for revenue by cuisine, weekly order trends and top zones by average rating. Pivot Charts visualize the summaries. Slicers provide one-click filtering and Timelines filter dates. Connect shared slicers/timelines through Report Connections. Conditional Formatting highlights performance. Ctrl+T is critical because new rows are automatically included in a formal Table; otherwise source ranges can miss new records.</t>
  </si>
  <si>
    <t>OrderID</t>
  </si>
  <si>
    <t>CustomerName</t>
  </si>
  <si>
    <t>Cuisine</t>
  </si>
  <si>
    <t>OrderDate</t>
  </si>
  <si>
    <t>DeliveryTime</t>
  </si>
  <si>
    <t>Rating</t>
  </si>
  <si>
    <t>Revenue</t>
  </si>
  <si>
    <t>Status</t>
  </si>
  <si>
    <t>T1O001</t>
  </si>
  <si>
    <t>Customer 1</t>
  </si>
  <si>
    <t>Indian</t>
  </si>
  <si>
    <t>Delivered</t>
  </si>
  <si>
    <t>T1O002</t>
  </si>
  <si>
    <t>Customer 2</t>
  </si>
  <si>
    <t>Chinese</t>
  </si>
  <si>
    <t>T1O003</t>
  </si>
  <si>
    <t>Customer 3</t>
  </si>
  <si>
    <t>Italian</t>
  </si>
  <si>
    <t>T1O004</t>
  </si>
  <si>
    <t>Customer 4</t>
  </si>
  <si>
    <t>Mexican</t>
  </si>
  <si>
    <t>Cancelled</t>
  </si>
  <si>
    <t>T1O005</t>
  </si>
  <si>
    <t>Customer 5</t>
  </si>
  <si>
    <t>Thai</t>
  </si>
  <si>
    <t>T1O006</t>
  </si>
  <si>
    <t>Customer 6</t>
  </si>
  <si>
    <t>T1O007</t>
  </si>
  <si>
    <t>Customer 7</t>
  </si>
  <si>
    <t>T1O008</t>
  </si>
  <si>
    <t>Customer 8</t>
  </si>
  <si>
    <t>T1O009</t>
  </si>
  <si>
    <t>Customer 9</t>
  </si>
  <si>
    <t>T1O010</t>
  </si>
  <si>
    <t>Customer 10</t>
  </si>
  <si>
    <t>T1O011</t>
  </si>
  <si>
    <t>Customer 11</t>
  </si>
  <si>
    <t>T1O012</t>
  </si>
  <si>
    <t>Customer 12</t>
  </si>
  <si>
    <t>T1O013</t>
  </si>
  <si>
    <t>Customer 13</t>
  </si>
  <si>
    <t>T1O014</t>
  </si>
  <si>
    <t>Customer 14</t>
  </si>
  <si>
    <t>T1O015</t>
  </si>
  <si>
    <t>Customer 15</t>
  </si>
  <si>
    <t>T1O016</t>
  </si>
  <si>
    <t>Customer 16</t>
  </si>
  <si>
    <t>T1O017</t>
  </si>
  <si>
    <t>Customer 17</t>
  </si>
  <si>
    <t>T1O018</t>
  </si>
  <si>
    <t>Customer 18</t>
  </si>
  <si>
    <t>T1O019</t>
  </si>
  <si>
    <t>Customer 19</t>
  </si>
  <si>
    <t>T1O020</t>
  </si>
  <si>
    <t>Customer 20</t>
  </si>
  <si>
    <t>T1O021</t>
  </si>
  <si>
    <t>Customer 21</t>
  </si>
  <si>
    <t>T1O022</t>
  </si>
  <si>
    <t>Customer 22</t>
  </si>
  <si>
    <t>T1O023</t>
  </si>
  <si>
    <t>Customer 23</t>
  </si>
  <si>
    <t>T1O024</t>
  </si>
  <si>
    <t>Customer 24</t>
  </si>
  <si>
    <t>T1O025</t>
  </si>
  <si>
    <t>Customer 25</t>
  </si>
  <si>
    <t>T1O026</t>
  </si>
  <si>
    <t>Customer 26</t>
  </si>
  <si>
    <t>T1O027</t>
  </si>
  <si>
    <t>Customer 27</t>
  </si>
  <si>
    <t>Delayed</t>
  </si>
  <si>
    <t>T1O028</t>
  </si>
  <si>
    <t>Customer 28</t>
  </si>
  <si>
    <t>T1O029</t>
  </si>
  <si>
    <t>Customer 29</t>
  </si>
  <si>
    <t>T1O030</t>
  </si>
  <si>
    <t>Customer 30</t>
  </si>
  <si>
    <t>T1O031</t>
  </si>
  <si>
    <t>Customer 31</t>
  </si>
  <si>
    <t>T1O032</t>
  </si>
  <si>
    <t>Customer 32</t>
  </si>
  <si>
    <t>T1O033</t>
  </si>
  <si>
    <t>Customer 33</t>
  </si>
  <si>
    <t>T1O034</t>
  </si>
  <si>
    <t>Customer 34</t>
  </si>
  <si>
    <t>T1O035</t>
  </si>
  <si>
    <t>Customer 35</t>
  </si>
  <si>
    <t>T1O036</t>
  </si>
  <si>
    <t>Customer 36</t>
  </si>
  <si>
    <t>T1O037</t>
  </si>
  <si>
    <t>Customer 37</t>
  </si>
  <si>
    <t>T1O038</t>
  </si>
  <si>
    <t>Customer 38</t>
  </si>
  <si>
    <t>T1O039</t>
  </si>
  <si>
    <t>Customer 39</t>
  </si>
  <si>
    <t>T1O040</t>
  </si>
  <si>
    <t>Customer 40</t>
  </si>
  <si>
    <t>T1O041</t>
  </si>
  <si>
    <t>Customer 41</t>
  </si>
  <si>
    <t>T1O042</t>
  </si>
  <si>
    <t>Customer 42</t>
  </si>
  <si>
    <t>T1O043</t>
  </si>
  <si>
    <t>Customer 43</t>
  </si>
  <si>
    <t>T1O044</t>
  </si>
  <si>
    <t>Customer 44</t>
  </si>
  <si>
    <t>T1O045</t>
  </si>
  <si>
    <t>Customer 45</t>
  </si>
  <si>
    <t>T1O046</t>
  </si>
  <si>
    <t>Customer 46</t>
  </si>
  <si>
    <t>T1O047</t>
  </si>
  <si>
    <t>Customer 47</t>
  </si>
  <si>
    <t>T1O048</t>
  </si>
  <si>
    <t>Customer 48</t>
  </si>
  <si>
    <t>T1O049</t>
  </si>
  <si>
    <t>Customer 49</t>
  </si>
  <si>
    <t>T1O050</t>
  </si>
  <si>
    <t>Customer 50</t>
  </si>
  <si>
    <t>Criteria</t>
  </si>
  <si>
    <t>&gt;500</t>
  </si>
  <si>
    <t>&gt;=4</t>
  </si>
  <si>
    <t>RestaurantID</t>
  </si>
  <si>
    <t>RestaurantName</t>
  </si>
  <si>
    <t>Zone</t>
  </si>
  <si>
    <t>Category</t>
  </si>
  <si>
    <t>AvgRating</t>
  </si>
  <si>
    <t>R001</t>
  </si>
  <si>
    <t>Restaurant 1</t>
  </si>
  <si>
    <t>North</t>
  </si>
  <si>
    <t>Cloud Kitchen</t>
  </si>
  <si>
    <t>R002</t>
  </si>
  <si>
    <t>Restaurant 2</t>
  </si>
  <si>
    <t>South</t>
  </si>
  <si>
    <t>Dine-in</t>
  </si>
  <si>
    <t>R003</t>
  </si>
  <si>
    <t>Restaurant 3</t>
  </si>
  <si>
    <t>East</t>
  </si>
  <si>
    <t>QSR</t>
  </si>
  <si>
    <t>R004</t>
  </si>
  <si>
    <t>Restaurant 4</t>
  </si>
  <si>
    <t>West</t>
  </si>
  <si>
    <t>R005</t>
  </si>
  <si>
    <t>Restaurant 5</t>
  </si>
  <si>
    <t>Central</t>
  </si>
  <si>
    <t>R006</t>
  </si>
  <si>
    <t>Restaurant 6</t>
  </si>
  <si>
    <t>R007</t>
  </si>
  <si>
    <t>Restaurant 7</t>
  </si>
  <si>
    <t>R008</t>
  </si>
  <si>
    <t>Restaurant 8</t>
  </si>
  <si>
    <t>R009</t>
  </si>
  <si>
    <t>Restaurant 9</t>
  </si>
  <si>
    <t>R010</t>
  </si>
  <si>
    <t>Restaurant 10</t>
  </si>
  <si>
    <t>R011</t>
  </si>
  <si>
    <t>Restaurant 11</t>
  </si>
  <si>
    <t>R012</t>
  </si>
  <si>
    <t>Restaurant 12</t>
  </si>
  <si>
    <t>R013</t>
  </si>
  <si>
    <t>Restaurant 13</t>
  </si>
  <si>
    <t>R014</t>
  </si>
  <si>
    <t>Restaurant 14</t>
  </si>
  <si>
    <t>R015</t>
  </si>
  <si>
    <t>Restaurant 15</t>
  </si>
  <si>
    <t>RestaurantName (XLOOKUP)</t>
  </si>
  <si>
    <t>Zone (INDEX-MATCH)</t>
  </si>
  <si>
    <t>Zone Summary</t>
  </si>
  <si>
    <t>T2O001</t>
  </si>
  <si>
    <t>Average Revenue</t>
  </si>
  <si>
    <t>T2O002</t>
  </si>
  <si>
    <t>T2O003</t>
  </si>
  <si>
    <t>T2O004</t>
  </si>
  <si>
    <t>T2O005</t>
  </si>
  <si>
    <t>T2O006</t>
  </si>
  <si>
    <t>T2O007</t>
  </si>
  <si>
    <t>T2O008</t>
  </si>
  <si>
    <t>T2O009</t>
  </si>
  <si>
    <t>T2O010</t>
  </si>
  <si>
    <t>T2O011</t>
  </si>
  <si>
    <t>T2O012</t>
  </si>
  <si>
    <t>T2O013</t>
  </si>
  <si>
    <t>T2O014</t>
  </si>
  <si>
    <t>T2O015</t>
  </si>
  <si>
    <t>T2O016</t>
  </si>
  <si>
    <t>T2O017</t>
  </si>
  <si>
    <t>T2O018</t>
  </si>
  <si>
    <t>T2O019</t>
  </si>
  <si>
    <t>T2O020</t>
  </si>
  <si>
    <t>T2O021</t>
  </si>
  <si>
    <t>T2O022</t>
  </si>
  <si>
    <t>T2O023</t>
  </si>
  <si>
    <t>T2O024</t>
  </si>
  <si>
    <t>T2O025</t>
  </si>
  <si>
    <t>T2O026</t>
  </si>
  <si>
    <t>T2O027</t>
  </si>
  <si>
    <t>T2O028</t>
  </si>
  <si>
    <t>T2O029</t>
  </si>
  <si>
    <t>T2O030</t>
  </si>
  <si>
    <t>T2O031</t>
  </si>
  <si>
    <t>T2O032</t>
  </si>
  <si>
    <t>T2O033</t>
  </si>
  <si>
    <t>T2O034</t>
  </si>
  <si>
    <t>T2O035</t>
  </si>
  <si>
    <t>T2O036</t>
  </si>
  <si>
    <t>T2O037</t>
  </si>
  <si>
    <t>T2O038</t>
  </si>
  <si>
    <t>T2O039</t>
  </si>
  <si>
    <t>T2O040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</si>
  <si>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</si>
  <si>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</si>
  <si>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</si>
  <si>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</si>
  <si>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</si>
  <si>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</si>
  <si>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</si>
  <si>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</si>
  <si>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</si>
  <si>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</si>
  <si>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</si>
  <si>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</si>
  <si>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</si>
  <si>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</si>
  <si>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</si>
  <si>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</si>
  <si>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</si>
  <si>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</si>
  <si>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</si>
  <si>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</si>
  <si>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</si>
  <si>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</si>
  <si>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</si>
  <si>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</si>
  <si>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</si>
  <si>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</si>
  <si>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</si>
  <si>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</si>
  <si>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</si>
  <si>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</si>
  <si>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</si>
  <si>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</si>
  <si>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</si>
  <si>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</si>
  <si>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</si>
  <si>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</si>
  <si>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</si>
  <si>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</si>
  <si>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</si>
  <si>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</si>
  <si>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</si>
  <si>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</si>
  <si>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</si>
  <si>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</si>
  <si>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</si>
  <si>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</si>
  <si>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</si>
  <si>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</si>
  <si>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</si>
  <si>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</si>
  <si>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</si>
  <si>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</si>
  <si>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</si>
  <si>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</si>
  <si>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</si>
  <si>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</si>
  <si>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</si>
  <si>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</si>
  <si>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</si>
  <si>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</si>
  <si>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</si>
  <si>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</si>
  <si>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</si>
  <si>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</si>
  <si>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</si>
  <si>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</si>
  <si>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</si>
  <si>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</si>
  <si>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</si>
  <si>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</si>
  <si>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</si>
  <si>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</si>
  <si>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</si>
  <si>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</si>
  <si>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</si>
  <si>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</si>
  <si>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</si>
  <si>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</si>
  <si>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</si>
  <si>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</si>
  <si>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</si>
  <si>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</si>
  <si>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</si>
  <si>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</si>
  <si>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</si>
  <si>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</si>
  <si>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</si>
  <si>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</si>
  <si>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</si>
  <si>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</si>
  <si>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</si>
  <si>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</si>
  <si>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</si>
  <si>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</si>
  <si>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</si>
  <si>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</si>
  <si>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</si>
  <si>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</si>
  <si>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</si>
  <si>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</si>
  <si>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</si>
  <si>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</si>
  <si>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</si>
  <si>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</si>
  <si>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</si>
  <si>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</si>
  <si>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</si>
  <si>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</si>
  <si>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</si>
  <si>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</si>
  <si>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</si>
  <si>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</si>
  <si>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</si>
  <si>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</si>
  <si>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</si>
  <si>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</si>
  <si>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</si>
  <si>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</si>
  <si>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</si>
  <si>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</si>
  <si>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Revenue SUM by Cuisine x Zone</t>
  </si>
  <si>
    <t>Status Filter</t>
  </si>
  <si>
    <t>All</t>
  </si>
  <si>
    <t>Grand Total</t>
  </si>
  <si>
    <t>AvgRevenuePerOrder</t>
  </si>
  <si>
    <t>Month</t>
  </si>
  <si>
    <t>Quarter</t>
  </si>
  <si>
    <t>Order Count</t>
  </si>
  <si>
    <t>Timeline</t>
  </si>
  <si>
    <t>Jun-2026</t>
  </si>
  <si>
    <t>Jul-2026</t>
  </si>
  <si>
    <t>Aug-2026</t>
  </si>
  <si>
    <t>Feature</t>
  </si>
  <si>
    <t>Note</t>
  </si>
  <si>
    <t>Cuisine Slicer</t>
  </si>
  <si>
    <t>Connect to Pivot 1 and Pivot Chart via Report Connections.</t>
  </si>
  <si>
    <t>Insert OrderDate Timeline and connect to Pivot 2.</t>
  </si>
  <si>
    <t>Calculated Field</t>
  </si>
  <si>
    <t>AvgRevenuePerOrder = Revenue / Orders.</t>
  </si>
  <si>
    <t>Outlier Flag</t>
  </si>
  <si>
    <t>Statistic</t>
  </si>
  <si>
    <t>Value</t>
  </si>
  <si>
    <t>AVERAGE</t>
  </si>
  <si>
    <t>MEDIAN</t>
  </si>
  <si>
    <t>MODE.SNGL</t>
  </si>
  <si>
    <t>STDEV.S</t>
  </si>
  <si>
    <t>VAR.S</t>
  </si>
  <si>
    <t>MIN</t>
  </si>
  <si>
    <t>MAX</t>
  </si>
  <si>
    <t>Lower Bound</t>
  </si>
  <si>
    <t>Upper Bound</t>
  </si>
  <si>
    <t>IQR</t>
  </si>
  <si>
    <t>Mean DeliveryTime</t>
  </si>
  <si>
    <t>Median DeliveryTime</t>
  </si>
  <si>
    <t>Std Dev DeliveryTime</t>
  </si>
  <si>
    <t>Mean Revenue</t>
  </si>
  <si>
    <t>Std Dev Revenue</t>
  </si>
  <si>
    <t>Flag</t>
  </si>
  <si>
    <t>FOOD DELIVERY OPERATIONS DASHBOARD</t>
  </si>
  <si>
    <t>KPI</t>
  </si>
  <si>
    <t>Month Timeline</t>
  </si>
  <si>
    <t>Total Revenue</t>
  </si>
  <si>
    <t>Avg Customer Rating</t>
  </si>
  <si>
    <t>On-Time Delivery %</t>
  </si>
  <si>
    <t>Zone Slicer (dropdown)</t>
  </si>
  <si>
    <t>Revenue by Cuisine x Zone</t>
  </si>
  <si>
    <t>Item</t>
  </si>
  <si>
    <t>Content</t>
  </si>
  <si>
    <t>Prompt</t>
  </si>
  <si>
    <t>Create a pandas script that reads food_delivery_orders.csv, summarizes by Cuisine using Total Revenue, Avg DeliveryTime and Order Count, flags DeliveryTime &gt;60 as Delayed otherwise On Time, and saves food_delivery_summary.xlsx. Test with 3 blank Revenue values and DeliveryTime=-5; identify and fix NaN and negative-time issues.</t>
  </si>
  <si>
    <t>Original</t>
  </si>
  <si>
    <t>Included in separate Python file.</t>
  </si>
  <si>
    <t>Corrected</t>
  </si>
  <si>
    <t>Change Note</t>
  </si>
  <si>
    <t>Convert numeric columns safely, fill blank Revenue with 0, mark negative DeliveryTime invalid, and exclude invalid delivery times from averages.</t>
  </si>
  <si>
    <t>Test Input</t>
  </si>
  <si>
    <t>CSV contains 3 blank Revenue cells and one DeliveryTime=-5.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</si>
</sst>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Cuisine and Zone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'Task 3 Pivot 1'!$B$4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3 Pivot 1'!$A$5:$A$9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'Task 3 Pivot 1'!$B$5:$B$9</c:f>
              <c:numCache>
                <c:formatCode>General</c:formatCode>
                <c:ptCount val="5"/>
                <c:pt idx="0">
                  <c:v>3342.1200000000003</c:v>
                </c:pt>
                <c:pt idx="1">
                  <c:v>4503.7</c:v>
                </c:pt>
                <c:pt idx="2">
                  <c:v>4803.0300000000007</c:v>
                </c:pt>
                <c:pt idx="3">
                  <c:v>1750.38</c:v>
                </c:pt>
                <c:pt idx="4">
                  <c:v>6863.61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F-4573-AF77-C108D72F6E66}"/>
            </c:ext>
          </c:extLst>
        </c:ser>
        <c:ser>
          <c:idx val="1"/>
          <c:order val="1"/>
          <c:tx>
            <c:strRef>
              <c:f>'Task 3 Pivot 1'!$C$4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3 Pivot 1'!$A$5:$A$9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'Task 3 Pivot 1'!$C$5:$C$9</c:f>
              <c:numCache>
                <c:formatCode>General</c:formatCode>
                <c:ptCount val="5"/>
                <c:pt idx="0">
                  <c:v>2282.8900000000003</c:v>
                </c:pt>
                <c:pt idx="1">
                  <c:v>3175.68</c:v>
                </c:pt>
                <c:pt idx="2">
                  <c:v>5817.28</c:v>
                </c:pt>
                <c:pt idx="3">
                  <c:v>5336.68</c:v>
                </c:pt>
                <c:pt idx="4">
                  <c:v>1731.15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F-4573-AF77-C108D72F6E66}"/>
            </c:ext>
          </c:extLst>
        </c:ser>
        <c:ser>
          <c:idx val="2"/>
          <c:order val="2"/>
          <c:tx>
            <c:strRef>
              <c:f>'Task 3 Pivot 1'!$D$4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3 Pivot 1'!$A$5:$A$9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'Task 3 Pivot 1'!$D$5:$D$9</c:f>
              <c:numCache>
                <c:formatCode>General</c:formatCode>
                <c:ptCount val="5"/>
                <c:pt idx="0">
                  <c:v>4638.55</c:v>
                </c:pt>
                <c:pt idx="1">
                  <c:v>8890.17</c:v>
                </c:pt>
                <c:pt idx="2">
                  <c:v>3597.75</c:v>
                </c:pt>
                <c:pt idx="3">
                  <c:v>1558.3899999999999</c:v>
                </c:pt>
                <c:pt idx="4">
                  <c:v>3275.71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F-4573-AF77-C108D72F6E66}"/>
            </c:ext>
          </c:extLst>
        </c:ser>
        <c:ser>
          <c:idx val="3"/>
          <c:order val="3"/>
          <c:tx>
            <c:strRef>
              <c:f>'Task 3 Pivot 1'!$E$4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3 Pivot 1'!$A$5:$A$9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'Task 3 Pivot 1'!$E$5:$E$9</c:f>
              <c:numCache>
                <c:formatCode>General</c:formatCode>
                <c:ptCount val="5"/>
                <c:pt idx="0">
                  <c:v>2105.9700000000003</c:v>
                </c:pt>
                <c:pt idx="1">
                  <c:v>8197.92</c:v>
                </c:pt>
                <c:pt idx="2">
                  <c:v>3488.64</c:v>
                </c:pt>
                <c:pt idx="3">
                  <c:v>3478.91</c:v>
                </c:pt>
                <c:pt idx="4">
                  <c:v>6022.42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F-4573-AF77-C108D72F6E66}"/>
            </c:ext>
          </c:extLst>
        </c:ser>
        <c:ser>
          <c:idx val="4"/>
          <c:order val="4"/>
          <c:tx>
            <c:strRef>
              <c:f>'Task 3 Pivot 1'!$F$4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3 Pivot 1'!$A$5:$A$9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'Task 3 Pivot 1'!$F$5:$F$9</c:f>
              <c:numCache>
                <c:formatCode>General</c:formatCode>
                <c:ptCount val="5"/>
                <c:pt idx="0">
                  <c:v>3432.71</c:v>
                </c:pt>
                <c:pt idx="1">
                  <c:v>3773.3900000000003</c:v>
                </c:pt>
                <c:pt idx="2">
                  <c:v>3001.5099999999998</c:v>
                </c:pt>
                <c:pt idx="3">
                  <c:v>3605.66</c:v>
                </c:pt>
                <c:pt idx="4">
                  <c:v>3150.3599999999997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BF-4573-AF77-C108D72F6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Cuisine and Zone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Dashboard!$B$12:$B$16</c:f>
              <c:numCache>
                <c:formatCode>General</c:formatCode>
                <c:ptCount val="5"/>
                <c:pt idx="0">
                  <c:v>3342.1200000000003</c:v>
                </c:pt>
                <c:pt idx="1">
                  <c:v>4503.7</c:v>
                </c:pt>
                <c:pt idx="2">
                  <c:v>4803.0300000000007</c:v>
                </c:pt>
                <c:pt idx="3">
                  <c:v>1750.38</c:v>
                </c:pt>
                <c:pt idx="4">
                  <c:v>6863.61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FB8-BFFF-2B4E2617D0F8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Dashboard!$C$12:$C$16</c:f>
              <c:numCache>
                <c:formatCode>General</c:formatCode>
                <c:ptCount val="5"/>
                <c:pt idx="0">
                  <c:v>2282.8900000000003</c:v>
                </c:pt>
                <c:pt idx="1">
                  <c:v>3175.68</c:v>
                </c:pt>
                <c:pt idx="2">
                  <c:v>5817.28</c:v>
                </c:pt>
                <c:pt idx="3">
                  <c:v>5336.68</c:v>
                </c:pt>
                <c:pt idx="4">
                  <c:v>1731.15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2-4FB8-BFFF-2B4E2617D0F8}"/>
            </c:ext>
          </c:extLst>
        </c:ser>
        <c:ser>
          <c:idx val="2"/>
          <c:order val="2"/>
          <c:tx>
            <c:strRef>
              <c:f>Dashboard!$D$11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Dashboard!$D$12:$D$16</c:f>
              <c:numCache>
                <c:formatCode>General</c:formatCode>
                <c:ptCount val="5"/>
                <c:pt idx="0">
                  <c:v>4638.55</c:v>
                </c:pt>
                <c:pt idx="1">
                  <c:v>8890.17</c:v>
                </c:pt>
                <c:pt idx="2">
                  <c:v>3597.75</c:v>
                </c:pt>
                <c:pt idx="3">
                  <c:v>1558.3899999999999</c:v>
                </c:pt>
                <c:pt idx="4">
                  <c:v>3275.71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2-4FB8-BFFF-2B4E2617D0F8}"/>
            </c:ext>
          </c:extLst>
        </c:ser>
        <c:ser>
          <c:idx val="3"/>
          <c:order val="3"/>
          <c:tx>
            <c:strRef>
              <c:f>Dashboard!$E$11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Dashboard!$E$12:$E$16</c:f>
              <c:numCache>
                <c:formatCode>General</c:formatCode>
                <c:ptCount val="5"/>
                <c:pt idx="0">
                  <c:v>2105.9700000000003</c:v>
                </c:pt>
                <c:pt idx="1">
                  <c:v>8197.92</c:v>
                </c:pt>
                <c:pt idx="2">
                  <c:v>3488.64</c:v>
                </c:pt>
                <c:pt idx="3">
                  <c:v>3478.91</c:v>
                </c:pt>
                <c:pt idx="4">
                  <c:v>6022.42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E2-4FB8-BFFF-2B4E2617D0F8}"/>
            </c:ext>
          </c:extLst>
        </c:ser>
        <c:ser>
          <c:idx val="4"/>
          <c:order val="4"/>
          <c:tx>
            <c:strRef>
              <c:f>Dashboard!$F$11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Thai</c:v>
                </c:pt>
              </c:strCache>
            </c:strRef>
          </c:cat>
          <c:val>
            <c:numRef>
              <c:f>Dashboard!$F$12:$F$16</c:f>
              <c:numCache>
                <c:formatCode>General</c:formatCode>
                <c:ptCount val="5"/>
                <c:pt idx="0">
                  <c:v>3432.71</c:v>
                </c:pt>
                <c:pt idx="1">
                  <c:v>3773.3900000000003</c:v>
                </c:pt>
                <c:pt idx="2">
                  <c:v>3001.5099999999998</c:v>
                </c:pt>
                <c:pt idx="3">
                  <c:v>3605.66</c:v>
                </c:pt>
                <c:pt idx="4">
                  <c:v>3150.3599999999997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E2-4FB8-BFFF-2B4E2617D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ask1" displayName="tblTask1" ref="A1:H51">
  <autoFilter ref="A1:H51" xr:uid="{00000000-0009-0000-0100-000001000000}"/>
  <tableColumns count="8">
    <tableColumn id="1" xr3:uid="{00000000-0010-0000-0000-000001000000}" name="OrderID"/>
    <tableColumn id="2" xr3:uid="{00000000-0010-0000-0000-000002000000}" name="CustomerName"/>
    <tableColumn id="3" xr3:uid="{00000000-0010-0000-0000-000003000000}" name="Cuisine"/>
    <tableColumn id="4" xr3:uid="{00000000-0010-0000-0000-000004000000}" name="OrderDate"/>
    <tableColumn id="5" xr3:uid="{00000000-0010-0000-0000-000005000000}" name="DeliveryTime"/>
    <tableColumn id="6" xr3:uid="{00000000-0010-0000-0000-000006000000}" name="Rating"/>
    <tableColumn id="7" xr3:uid="{00000000-0010-0000-0000-000007000000}" name="Revenue"/>
    <tableColumn id="8" xr3:uid="{00000000-0010-0000-0000-000008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staurants" displayName="tblRestaurants" ref="A1:E16">
  <autoFilter ref="A1:E16" xr:uid="{00000000-0009-0000-0100-000002000000}"/>
  <tableColumns count="5">
    <tableColumn id="1" xr3:uid="{00000000-0010-0000-0100-000001000000}" name="RestaurantID"/>
    <tableColumn id="2" xr3:uid="{00000000-0010-0000-0100-000002000000}" name="RestaurantName"/>
    <tableColumn id="3" xr3:uid="{00000000-0010-0000-0100-000003000000}" name="Zone"/>
    <tableColumn id="4" xr3:uid="{00000000-0010-0000-0100-000004000000}" name="Category"/>
    <tableColumn id="5" xr3:uid="{00000000-0010-0000-0100-000005000000}" name="Avg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sk2" displayName="tblTask2" ref="A1:E41">
  <autoFilter ref="A1:E41" xr:uid="{00000000-0009-0000-0100-000003000000}"/>
  <tableColumns count="5">
    <tableColumn id="1" xr3:uid="{00000000-0010-0000-0200-000001000000}" name="OrderID"/>
    <tableColumn id="2" xr3:uid="{00000000-0010-0000-0200-000002000000}" name="RestaurantID"/>
    <tableColumn id="3" xr3:uid="{00000000-0010-0000-0200-000003000000}" name="Revenue"/>
    <tableColumn id="4" xr3:uid="{00000000-0010-0000-0200-000004000000}" name="RestaurantName (XLOOKUP)"/>
    <tableColumn id="5" xr3:uid="{00000000-0010-0000-0200-000005000000}" name="Zone (INDEX-MATCH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rders" displayName="tblOrders" ref="A1:G121">
  <autoFilter ref="A1:G121" xr:uid="{00000000-0009-0000-0100-000004000000}"/>
  <tableColumns count="7">
    <tableColumn id="1" xr3:uid="{00000000-0010-0000-0300-000001000000}" name="OrderID"/>
    <tableColumn id="2" xr3:uid="{00000000-0010-0000-0300-000002000000}" name="OrderDate"/>
    <tableColumn id="3" xr3:uid="{00000000-0010-0000-0300-000003000000}" name="Cuisine"/>
    <tableColumn id="4" xr3:uid="{00000000-0010-0000-0300-000004000000}" name="Zone"/>
    <tableColumn id="5" xr3:uid="{00000000-0010-0000-0300-000005000000}" name="Revenue"/>
    <tableColumn id="6" xr3:uid="{00000000-0010-0000-0300-000006000000}" name="DeliveryTime"/>
    <tableColumn id="7" xr3:uid="{00000000-0010-0000-0300-000007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ask4" displayName="tblTask4" ref="A1:I121">
  <autoFilter ref="A1:I121" xr:uid="{00000000-0009-0000-0100-000005000000}"/>
  <tableColumns count="9">
    <tableColumn id="1" xr3:uid="{00000000-0010-0000-0400-000001000000}" name="OrderID"/>
    <tableColumn id="2" xr3:uid="{00000000-0010-0000-0400-000002000000}" name="OrderDate"/>
    <tableColumn id="3" xr3:uid="{00000000-0010-0000-0400-000003000000}" name="Cuisine"/>
    <tableColumn id="4" xr3:uid="{00000000-0010-0000-0400-000004000000}" name="Zone"/>
    <tableColumn id="5" xr3:uid="{00000000-0010-0000-0400-000005000000}" name="Revenue"/>
    <tableColumn id="6" xr3:uid="{00000000-0010-0000-0400-000006000000}" name="DeliveryTime"/>
    <tableColumn id="7" xr3:uid="{00000000-0010-0000-0400-000007000000}" name="Rating"/>
    <tableColumn id="8" xr3:uid="{00000000-0010-0000-0400-000008000000}" name="Status"/>
    <tableColumn id="9" xr3:uid="{00000000-0010-0000-0400-000009000000}" name="Outlier 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apstoneOrders" displayName="tblCapstoneOrders" ref="A1:K121">
  <autoFilter ref="A1:K121" xr:uid="{00000000-0009-0000-0100-000006000000}"/>
  <tableColumns count="11">
    <tableColumn id="1" xr3:uid="{00000000-0010-0000-0500-000001000000}" name="OrderID"/>
    <tableColumn id="2" xr3:uid="{00000000-0010-0000-0500-000002000000}" name="RestaurantID"/>
    <tableColumn id="3" xr3:uid="{00000000-0010-0000-0500-000003000000}" name="Cuisine"/>
    <tableColumn id="4" xr3:uid="{00000000-0010-0000-0500-000004000000}" name="Zone"/>
    <tableColumn id="5" xr3:uid="{00000000-0010-0000-0500-000005000000}" name="OrderDate"/>
    <tableColumn id="6" xr3:uid="{00000000-0010-0000-0500-000006000000}" name="DeliveryTime"/>
    <tableColumn id="7" xr3:uid="{00000000-0010-0000-0500-000007000000}" name="Rating"/>
    <tableColumn id="8" xr3:uid="{00000000-0010-0000-0500-000008000000}" name="Revenue"/>
    <tableColumn id="9" xr3:uid="{00000000-0010-0000-0500-000009000000}" name="Status"/>
    <tableColumn id="10" xr3:uid="{00000000-0010-0000-0500-00000A000000}" name="RestaurantName"/>
    <tableColumn id="11" xr3:uid="{00000000-0010-0000-0500-00000B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35" customWidth="1"/>
  </cols>
  <sheetData>
    <row r="1" spans="1:2" x14ac:dyDescent="0.3">
      <c r="A1" s="1" t="s">
        <v>0</v>
      </c>
      <c r="B1" s="1"/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22E-9F11-4F47-B987-6C06B322841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2" max="2" width="110" customWidth="1"/>
  </cols>
  <sheetData>
    <row r="1" spans="1:2" x14ac:dyDescent="0.3">
      <c r="A1" s="2" t="s">
        <v>7</v>
      </c>
      <c r="B1" s="2" t="s">
        <v>8</v>
      </c>
    </row>
    <row r="2" spans="1:2" ht="72" x14ac:dyDescent="0.3">
      <c r="A2" s="1" t="s">
        <v>9</v>
      </c>
      <c r="B2" s="3" t="s">
        <v>10</v>
      </c>
    </row>
    <row r="3" spans="1:2" ht="57.6" x14ac:dyDescent="0.3">
      <c r="A3" s="1" t="s">
        <v>11</v>
      </c>
      <c r="B3" s="3" t="s">
        <v>12</v>
      </c>
    </row>
    <row r="4" spans="1:2" ht="57.6" x14ac:dyDescent="0.3">
      <c r="A4" s="1" t="s">
        <v>13</v>
      </c>
      <c r="B4" s="3" t="s">
        <v>14</v>
      </c>
    </row>
    <row r="5" spans="1:2" ht="57.6" x14ac:dyDescent="0.3">
      <c r="A5" s="1" t="s">
        <v>15</v>
      </c>
      <c r="B5" s="3" t="s">
        <v>16</v>
      </c>
    </row>
    <row r="6" spans="1:2" ht="57.6" x14ac:dyDescent="0.3">
      <c r="A6" s="1" t="s">
        <v>17</v>
      </c>
      <c r="B6" s="3" t="s">
        <v>18</v>
      </c>
    </row>
    <row r="7" spans="1:2" ht="57.6" x14ac:dyDescent="0.3">
      <c r="A7" s="1" t="s">
        <v>19</v>
      </c>
      <c r="B7" s="3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10" customWidth="1"/>
    <col min="4" max="4" width="12" customWidth="1"/>
    <col min="5" max="5" width="14" customWidth="1"/>
    <col min="6" max="7" width="10" customWidth="1"/>
    <col min="8" max="8" width="11" customWidth="1"/>
  </cols>
  <sheetData>
    <row r="1" spans="1:8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 x14ac:dyDescent="0.3">
      <c r="A2" s="1" t="s">
        <v>29</v>
      </c>
      <c r="B2" s="1" t="s">
        <v>30</v>
      </c>
      <c r="C2" s="1" t="s">
        <v>31</v>
      </c>
      <c r="D2" s="4">
        <v>46279</v>
      </c>
      <c r="E2" s="1">
        <v>35</v>
      </c>
      <c r="F2" s="1">
        <v>3</v>
      </c>
      <c r="G2" s="1">
        <v>1316.43</v>
      </c>
      <c r="H2" s="1" t="s">
        <v>32</v>
      </c>
    </row>
    <row r="3" spans="1:8" x14ac:dyDescent="0.3">
      <c r="A3" s="1" t="s">
        <v>33</v>
      </c>
      <c r="B3" s="1" t="s">
        <v>34</v>
      </c>
      <c r="C3" s="1" t="s">
        <v>35</v>
      </c>
      <c r="D3" s="4">
        <v>46275</v>
      </c>
      <c r="E3" s="1">
        <v>20</v>
      </c>
      <c r="F3" s="1">
        <v>5</v>
      </c>
      <c r="G3" s="1">
        <v>934.94</v>
      </c>
      <c r="H3" s="1" t="s">
        <v>32</v>
      </c>
    </row>
    <row r="4" spans="1:8" x14ac:dyDescent="0.3">
      <c r="A4" s="1" t="s">
        <v>36</v>
      </c>
      <c r="B4" s="1" t="s">
        <v>37</v>
      </c>
      <c r="C4" s="1" t="s">
        <v>38</v>
      </c>
      <c r="D4" s="4">
        <v>46271</v>
      </c>
      <c r="E4" s="1">
        <v>62</v>
      </c>
      <c r="F4" s="1">
        <v>4</v>
      </c>
      <c r="G4" s="1">
        <v>798.35</v>
      </c>
      <c r="H4" s="1" t="s">
        <v>32</v>
      </c>
    </row>
    <row r="5" spans="1:8" x14ac:dyDescent="0.3">
      <c r="A5" s="1" t="s">
        <v>39</v>
      </c>
      <c r="B5" s="1" t="s">
        <v>40</v>
      </c>
      <c r="C5" s="1" t="s">
        <v>41</v>
      </c>
      <c r="D5" s="4">
        <v>46289</v>
      </c>
      <c r="E5" s="1">
        <v>20</v>
      </c>
      <c r="F5" s="1">
        <v>2</v>
      </c>
      <c r="G5" s="1">
        <v>1029.32</v>
      </c>
      <c r="H5" s="1" t="s">
        <v>42</v>
      </c>
    </row>
    <row r="6" spans="1:8" x14ac:dyDescent="0.3">
      <c r="A6" s="1" t="s">
        <v>43</v>
      </c>
      <c r="B6" s="1" t="s">
        <v>44</v>
      </c>
      <c r="C6" s="1" t="s">
        <v>45</v>
      </c>
      <c r="D6" s="4">
        <v>46285</v>
      </c>
      <c r="E6" s="1">
        <v>22</v>
      </c>
      <c r="F6" s="1">
        <v>3</v>
      </c>
      <c r="G6" s="1">
        <v>936.43</v>
      </c>
      <c r="H6" s="1" t="s">
        <v>42</v>
      </c>
    </row>
    <row r="7" spans="1:8" x14ac:dyDescent="0.3">
      <c r="A7" s="1" t="s">
        <v>46</v>
      </c>
      <c r="B7" s="1" t="s">
        <v>47</v>
      </c>
      <c r="C7" s="1" t="s">
        <v>31</v>
      </c>
      <c r="D7" s="4">
        <v>46284</v>
      </c>
      <c r="E7" s="1">
        <v>69</v>
      </c>
      <c r="F7" s="1">
        <v>1</v>
      </c>
      <c r="G7" s="1">
        <v>429.33</v>
      </c>
      <c r="H7" s="1" t="s">
        <v>42</v>
      </c>
    </row>
    <row r="8" spans="1:8" x14ac:dyDescent="0.3">
      <c r="A8" s="1" t="s">
        <v>48</v>
      </c>
      <c r="B8" s="1" t="s">
        <v>49</v>
      </c>
      <c r="C8" s="1" t="s">
        <v>35</v>
      </c>
      <c r="D8" s="4">
        <v>46280</v>
      </c>
      <c r="E8" s="1">
        <v>19</v>
      </c>
      <c r="F8" s="1">
        <v>1</v>
      </c>
      <c r="G8" s="1">
        <v>885.17</v>
      </c>
      <c r="H8" s="1" t="s">
        <v>32</v>
      </c>
    </row>
    <row r="9" spans="1:8" x14ac:dyDescent="0.3">
      <c r="A9" s="1" t="s">
        <v>50</v>
      </c>
      <c r="B9" s="1" t="s">
        <v>51</v>
      </c>
      <c r="C9" s="1" t="s">
        <v>38</v>
      </c>
      <c r="D9" s="4">
        <v>46279</v>
      </c>
      <c r="E9" s="1">
        <v>52</v>
      </c>
      <c r="F9" s="1">
        <v>2</v>
      </c>
      <c r="G9" s="1">
        <v>1419.5</v>
      </c>
      <c r="H9" s="1" t="s">
        <v>32</v>
      </c>
    </row>
    <row r="10" spans="1:8" x14ac:dyDescent="0.3">
      <c r="A10" s="1" t="s">
        <v>52</v>
      </c>
      <c r="B10" s="1" t="s">
        <v>53</v>
      </c>
      <c r="C10" s="1" t="s">
        <v>41</v>
      </c>
      <c r="D10" s="4">
        <v>46286</v>
      </c>
      <c r="E10" s="1">
        <v>41</v>
      </c>
      <c r="F10" s="1">
        <v>1</v>
      </c>
      <c r="G10" s="1">
        <v>320.82</v>
      </c>
      <c r="H10" s="1" t="s">
        <v>32</v>
      </c>
    </row>
    <row r="11" spans="1:8" x14ac:dyDescent="0.3">
      <c r="A11" s="1" t="s">
        <v>54</v>
      </c>
      <c r="B11" s="1" t="s">
        <v>55</v>
      </c>
      <c r="C11" s="1" t="s">
        <v>45</v>
      </c>
      <c r="D11" s="4">
        <v>46289</v>
      </c>
      <c r="E11" s="1">
        <v>25</v>
      </c>
      <c r="F11" s="1">
        <v>5</v>
      </c>
      <c r="G11" s="1">
        <v>393.88</v>
      </c>
      <c r="H11" s="1" t="s">
        <v>32</v>
      </c>
    </row>
    <row r="12" spans="1:8" x14ac:dyDescent="0.3">
      <c r="A12" s="1" t="s">
        <v>56</v>
      </c>
      <c r="B12" s="1" t="s">
        <v>57</v>
      </c>
      <c r="C12" s="1" t="s">
        <v>31</v>
      </c>
      <c r="D12" s="4">
        <v>46280</v>
      </c>
      <c r="E12" s="1">
        <v>74</v>
      </c>
      <c r="F12" s="1">
        <v>4</v>
      </c>
      <c r="G12" s="1">
        <v>923.6</v>
      </c>
      <c r="H12" s="1" t="s">
        <v>32</v>
      </c>
    </row>
    <row r="13" spans="1:8" x14ac:dyDescent="0.3">
      <c r="A13" s="1" t="s">
        <v>58</v>
      </c>
      <c r="B13" s="1" t="s">
        <v>59</v>
      </c>
      <c r="C13" s="1" t="s">
        <v>35</v>
      </c>
      <c r="D13" s="4">
        <v>46270</v>
      </c>
      <c r="E13" s="1">
        <v>42</v>
      </c>
      <c r="F13" s="1">
        <v>3</v>
      </c>
      <c r="G13" s="1">
        <v>172.29</v>
      </c>
      <c r="H13" s="1" t="s">
        <v>42</v>
      </c>
    </row>
    <row r="14" spans="1:8" x14ac:dyDescent="0.3">
      <c r="A14" s="1" t="s">
        <v>60</v>
      </c>
      <c r="B14" s="1" t="s">
        <v>61</v>
      </c>
      <c r="C14" s="1" t="s">
        <v>38</v>
      </c>
      <c r="D14" s="4">
        <v>46290</v>
      </c>
      <c r="E14" s="1">
        <v>41</v>
      </c>
      <c r="F14" s="1">
        <v>5</v>
      </c>
      <c r="G14" s="1">
        <v>866.13</v>
      </c>
      <c r="H14" s="1" t="s">
        <v>42</v>
      </c>
    </row>
    <row r="15" spans="1:8" x14ac:dyDescent="0.3">
      <c r="A15" s="1" t="s">
        <v>62</v>
      </c>
      <c r="B15" s="1" t="s">
        <v>63</v>
      </c>
      <c r="C15" s="1" t="s">
        <v>41</v>
      </c>
      <c r="D15" s="4">
        <v>46281</v>
      </c>
      <c r="E15" s="1">
        <v>61</v>
      </c>
      <c r="F15" s="1">
        <v>4</v>
      </c>
      <c r="G15" s="1">
        <v>1373.86</v>
      </c>
      <c r="H15" s="1" t="s">
        <v>32</v>
      </c>
    </row>
    <row r="16" spans="1:8" x14ac:dyDescent="0.3">
      <c r="A16" s="1" t="s">
        <v>64</v>
      </c>
      <c r="B16" s="1" t="s">
        <v>65</v>
      </c>
      <c r="C16" s="1" t="s">
        <v>45</v>
      </c>
      <c r="D16" s="4">
        <v>46272</v>
      </c>
      <c r="E16" s="1">
        <v>31</v>
      </c>
      <c r="F16" s="1">
        <v>3</v>
      </c>
      <c r="G16" s="1">
        <v>291.73</v>
      </c>
      <c r="H16" s="1" t="s">
        <v>32</v>
      </c>
    </row>
    <row r="17" spans="1:8" x14ac:dyDescent="0.3">
      <c r="A17" s="1" t="s">
        <v>66</v>
      </c>
      <c r="B17" s="1" t="s">
        <v>67</v>
      </c>
      <c r="C17" s="1" t="s">
        <v>31</v>
      </c>
      <c r="D17" s="4">
        <v>46277</v>
      </c>
      <c r="E17" s="1">
        <v>62</v>
      </c>
      <c r="F17" s="1">
        <v>3</v>
      </c>
      <c r="G17" s="1">
        <v>332.63</v>
      </c>
      <c r="H17" s="1" t="s">
        <v>32</v>
      </c>
    </row>
    <row r="18" spans="1:8" x14ac:dyDescent="0.3">
      <c r="A18" s="1" t="s">
        <v>68</v>
      </c>
      <c r="B18" s="1" t="s">
        <v>69</v>
      </c>
      <c r="C18" s="1" t="s">
        <v>35</v>
      </c>
      <c r="D18" s="4">
        <v>46276</v>
      </c>
      <c r="E18" s="1">
        <v>62</v>
      </c>
      <c r="F18" s="1">
        <v>5</v>
      </c>
      <c r="G18" s="1">
        <v>1416.43</v>
      </c>
      <c r="H18" s="1" t="s">
        <v>32</v>
      </c>
    </row>
    <row r="19" spans="1:8" x14ac:dyDescent="0.3">
      <c r="A19" s="1" t="s">
        <v>70</v>
      </c>
      <c r="B19" s="1" t="s">
        <v>71</v>
      </c>
      <c r="C19" s="1" t="s">
        <v>38</v>
      </c>
      <c r="D19" s="4">
        <v>46293</v>
      </c>
      <c r="E19" s="1">
        <v>44</v>
      </c>
      <c r="F19" s="1">
        <v>5</v>
      </c>
      <c r="G19" s="1">
        <v>504.2</v>
      </c>
      <c r="H19" s="1" t="s">
        <v>32</v>
      </c>
    </row>
    <row r="20" spans="1:8" x14ac:dyDescent="0.3">
      <c r="A20" s="1" t="s">
        <v>72</v>
      </c>
      <c r="B20" s="1" t="s">
        <v>73</v>
      </c>
      <c r="C20" s="1" t="s">
        <v>41</v>
      </c>
      <c r="D20" s="4">
        <v>46273</v>
      </c>
      <c r="E20" s="1">
        <v>51</v>
      </c>
      <c r="F20" s="1">
        <v>2</v>
      </c>
      <c r="G20" s="1">
        <v>1215.3599999999999</v>
      </c>
      <c r="H20" s="1" t="s">
        <v>32</v>
      </c>
    </row>
    <row r="21" spans="1:8" x14ac:dyDescent="0.3">
      <c r="A21" s="1" t="s">
        <v>74</v>
      </c>
      <c r="B21" s="1" t="s">
        <v>75</v>
      </c>
      <c r="C21" s="1" t="s">
        <v>45</v>
      </c>
      <c r="D21" s="4">
        <v>46275</v>
      </c>
      <c r="E21" s="1">
        <v>35</v>
      </c>
      <c r="F21" s="1">
        <v>4</v>
      </c>
      <c r="G21" s="1">
        <v>1524.99</v>
      </c>
      <c r="H21" s="1" t="s">
        <v>32</v>
      </c>
    </row>
    <row r="22" spans="1:8" x14ac:dyDescent="0.3">
      <c r="A22" s="1" t="s">
        <v>76</v>
      </c>
      <c r="B22" s="1" t="s">
        <v>77</v>
      </c>
      <c r="C22" s="1" t="s">
        <v>31</v>
      </c>
      <c r="D22" s="4">
        <v>46289</v>
      </c>
      <c r="E22" s="1">
        <v>24</v>
      </c>
      <c r="F22" s="1">
        <v>2</v>
      </c>
      <c r="G22" s="1">
        <v>552.29</v>
      </c>
      <c r="H22" s="1" t="s">
        <v>32</v>
      </c>
    </row>
    <row r="23" spans="1:8" x14ac:dyDescent="0.3">
      <c r="A23" s="1" t="s">
        <v>78</v>
      </c>
      <c r="B23" s="1" t="s">
        <v>79</v>
      </c>
      <c r="C23" s="1" t="s">
        <v>35</v>
      </c>
      <c r="D23" s="4">
        <v>46295</v>
      </c>
      <c r="E23" s="1">
        <v>73</v>
      </c>
      <c r="F23" s="1">
        <v>2</v>
      </c>
      <c r="G23" s="1">
        <v>1045.95</v>
      </c>
      <c r="H23" s="1" t="s">
        <v>32</v>
      </c>
    </row>
    <row r="24" spans="1:8" x14ac:dyDescent="0.3">
      <c r="A24" s="1" t="s">
        <v>80</v>
      </c>
      <c r="B24" s="1" t="s">
        <v>81</v>
      </c>
      <c r="C24" s="1" t="s">
        <v>38</v>
      </c>
      <c r="D24" s="4">
        <v>46271</v>
      </c>
      <c r="E24" s="1">
        <v>30</v>
      </c>
      <c r="F24" s="1">
        <v>5</v>
      </c>
      <c r="G24" s="1">
        <v>829.26</v>
      </c>
      <c r="H24" s="1" t="s">
        <v>42</v>
      </c>
    </row>
    <row r="25" spans="1:8" x14ac:dyDescent="0.3">
      <c r="A25" s="1" t="s">
        <v>82</v>
      </c>
      <c r="B25" s="1" t="s">
        <v>83</v>
      </c>
      <c r="C25" s="1" t="s">
        <v>41</v>
      </c>
      <c r="D25" s="4">
        <v>46280</v>
      </c>
      <c r="E25" s="1">
        <v>74</v>
      </c>
      <c r="F25" s="1">
        <v>4</v>
      </c>
      <c r="G25" s="1">
        <v>1286.7</v>
      </c>
      <c r="H25" s="1" t="s">
        <v>32</v>
      </c>
    </row>
    <row r="26" spans="1:8" x14ac:dyDescent="0.3">
      <c r="A26" s="1" t="s">
        <v>84</v>
      </c>
      <c r="B26" s="1" t="s">
        <v>85</v>
      </c>
      <c r="C26" s="1" t="s">
        <v>45</v>
      </c>
      <c r="D26" s="4">
        <v>46283</v>
      </c>
      <c r="E26" s="1">
        <v>69</v>
      </c>
      <c r="F26" s="1">
        <v>3</v>
      </c>
      <c r="G26" s="1">
        <v>1183.04</v>
      </c>
      <c r="H26" s="1" t="s">
        <v>42</v>
      </c>
    </row>
    <row r="27" spans="1:8" x14ac:dyDescent="0.3">
      <c r="A27" s="1" t="s">
        <v>86</v>
      </c>
      <c r="B27" s="1" t="s">
        <v>87</v>
      </c>
      <c r="C27" s="1" t="s">
        <v>31</v>
      </c>
      <c r="D27" s="4">
        <v>46278</v>
      </c>
      <c r="E27" s="1">
        <v>18</v>
      </c>
      <c r="F27" s="1">
        <v>4</v>
      </c>
      <c r="G27" s="1">
        <v>1483.28</v>
      </c>
      <c r="H27" s="1" t="s">
        <v>32</v>
      </c>
    </row>
    <row r="28" spans="1:8" x14ac:dyDescent="0.3">
      <c r="A28" s="1" t="s">
        <v>88</v>
      </c>
      <c r="B28" s="1" t="s">
        <v>89</v>
      </c>
      <c r="C28" s="1" t="s">
        <v>35</v>
      </c>
      <c r="D28" s="4">
        <v>46279</v>
      </c>
      <c r="E28" s="1">
        <v>23</v>
      </c>
      <c r="F28" s="1">
        <v>1</v>
      </c>
      <c r="G28" s="1">
        <v>180.18</v>
      </c>
      <c r="H28" s="1" t="s">
        <v>90</v>
      </c>
    </row>
    <row r="29" spans="1:8" x14ac:dyDescent="0.3">
      <c r="A29" s="1" t="s">
        <v>91</v>
      </c>
      <c r="B29" s="1" t="s">
        <v>92</v>
      </c>
      <c r="C29" s="1" t="s">
        <v>38</v>
      </c>
      <c r="D29" s="4">
        <v>46267</v>
      </c>
      <c r="E29" s="1">
        <v>54</v>
      </c>
      <c r="F29" s="1">
        <v>1</v>
      </c>
      <c r="G29" s="1">
        <v>447.35</v>
      </c>
      <c r="H29" s="1" t="s">
        <v>32</v>
      </c>
    </row>
    <row r="30" spans="1:8" x14ac:dyDescent="0.3">
      <c r="A30" s="1" t="s">
        <v>93</v>
      </c>
      <c r="B30" s="1" t="s">
        <v>94</v>
      </c>
      <c r="C30" s="1" t="s">
        <v>41</v>
      </c>
      <c r="D30" s="4">
        <v>46295</v>
      </c>
      <c r="E30" s="1">
        <v>18</v>
      </c>
      <c r="F30" s="1">
        <v>2</v>
      </c>
      <c r="G30" s="1">
        <v>877.46</v>
      </c>
      <c r="H30" s="1" t="s">
        <v>32</v>
      </c>
    </row>
    <row r="31" spans="1:8" x14ac:dyDescent="0.3">
      <c r="A31" s="1" t="s">
        <v>95</v>
      </c>
      <c r="B31" s="1" t="s">
        <v>96</v>
      </c>
      <c r="C31" s="1" t="s">
        <v>45</v>
      </c>
      <c r="D31" s="4">
        <v>46269</v>
      </c>
      <c r="E31" s="1">
        <v>40</v>
      </c>
      <c r="F31" s="1">
        <v>4</v>
      </c>
      <c r="G31" s="1">
        <v>602.44000000000005</v>
      </c>
      <c r="H31" s="1" t="s">
        <v>32</v>
      </c>
    </row>
    <row r="32" spans="1:8" x14ac:dyDescent="0.3">
      <c r="A32" s="1" t="s">
        <v>97</v>
      </c>
      <c r="B32" s="1" t="s">
        <v>98</v>
      </c>
      <c r="C32" s="1" t="s">
        <v>31</v>
      </c>
      <c r="D32" s="4">
        <v>46286</v>
      </c>
      <c r="E32" s="1">
        <v>33</v>
      </c>
      <c r="F32" s="1">
        <v>5</v>
      </c>
      <c r="G32" s="1">
        <v>1282.8</v>
      </c>
      <c r="H32" s="1" t="s">
        <v>42</v>
      </c>
    </row>
    <row r="33" spans="1:8" x14ac:dyDescent="0.3">
      <c r="A33" s="1" t="s">
        <v>99</v>
      </c>
      <c r="B33" s="1" t="s">
        <v>100</v>
      </c>
      <c r="C33" s="1" t="s">
        <v>35</v>
      </c>
      <c r="D33" s="4">
        <v>46274</v>
      </c>
      <c r="E33" s="1">
        <v>31</v>
      </c>
      <c r="F33" s="1">
        <v>5</v>
      </c>
      <c r="G33" s="1">
        <v>1319.02</v>
      </c>
      <c r="H33" s="1" t="s">
        <v>42</v>
      </c>
    </row>
    <row r="34" spans="1:8" x14ac:dyDescent="0.3">
      <c r="A34" s="1" t="s">
        <v>101</v>
      </c>
      <c r="B34" s="1" t="s">
        <v>102</v>
      </c>
      <c r="C34" s="1" t="s">
        <v>38</v>
      </c>
      <c r="D34" s="4">
        <v>46272</v>
      </c>
      <c r="E34" s="1">
        <v>24</v>
      </c>
      <c r="F34" s="1">
        <v>3</v>
      </c>
      <c r="G34" s="1">
        <v>1114.32</v>
      </c>
      <c r="H34" s="1" t="s">
        <v>32</v>
      </c>
    </row>
    <row r="35" spans="1:8" x14ac:dyDescent="0.3">
      <c r="A35" s="1" t="s">
        <v>103</v>
      </c>
      <c r="B35" s="1" t="s">
        <v>104</v>
      </c>
      <c r="C35" s="1" t="s">
        <v>41</v>
      </c>
      <c r="D35" s="4">
        <v>46288</v>
      </c>
      <c r="E35" s="1">
        <v>53</v>
      </c>
      <c r="F35" s="1">
        <v>3</v>
      </c>
      <c r="G35" s="1">
        <v>343.02</v>
      </c>
      <c r="H35" s="1" t="s">
        <v>90</v>
      </c>
    </row>
    <row r="36" spans="1:8" x14ac:dyDescent="0.3">
      <c r="A36" s="1" t="s">
        <v>105</v>
      </c>
      <c r="B36" s="1" t="s">
        <v>106</v>
      </c>
      <c r="C36" s="1" t="s">
        <v>45</v>
      </c>
      <c r="D36" s="4">
        <v>46295</v>
      </c>
      <c r="E36" s="1">
        <v>68</v>
      </c>
      <c r="F36" s="1">
        <v>5</v>
      </c>
      <c r="G36" s="1">
        <v>704.97</v>
      </c>
      <c r="H36" s="1" t="s">
        <v>90</v>
      </c>
    </row>
    <row r="37" spans="1:8" x14ac:dyDescent="0.3">
      <c r="A37" s="1" t="s">
        <v>107</v>
      </c>
      <c r="B37" s="1" t="s">
        <v>108</v>
      </c>
      <c r="C37" s="1" t="s">
        <v>31</v>
      </c>
      <c r="D37" s="4">
        <v>46284</v>
      </c>
      <c r="E37" s="1">
        <v>32</v>
      </c>
      <c r="F37" s="1">
        <v>5</v>
      </c>
      <c r="G37" s="1">
        <v>677.78</v>
      </c>
      <c r="H37" s="1" t="s">
        <v>42</v>
      </c>
    </row>
    <row r="38" spans="1:8" x14ac:dyDescent="0.3">
      <c r="A38" s="1" t="s">
        <v>109</v>
      </c>
      <c r="B38" s="1" t="s">
        <v>110</v>
      </c>
      <c r="C38" s="1" t="s">
        <v>35</v>
      </c>
      <c r="D38" s="4">
        <v>46267</v>
      </c>
      <c r="E38" s="1">
        <v>67</v>
      </c>
      <c r="F38" s="1">
        <v>1</v>
      </c>
      <c r="G38" s="1">
        <v>1023.53</v>
      </c>
      <c r="H38" s="1" t="s">
        <v>32</v>
      </c>
    </row>
    <row r="39" spans="1:8" x14ac:dyDescent="0.3">
      <c r="A39" s="1" t="s">
        <v>111</v>
      </c>
      <c r="B39" s="1" t="s">
        <v>112</v>
      </c>
      <c r="C39" s="1" t="s">
        <v>38</v>
      </c>
      <c r="D39" s="4">
        <v>46267</v>
      </c>
      <c r="E39" s="1">
        <v>42</v>
      </c>
      <c r="F39" s="1">
        <v>2</v>
      </c>
      <c r="G39" s="1">
        <v>689.47</v>
      </c>
      <c r="H39" s="1" t="s">
        <v>32</v>
      </c>
    </row>
    <row r="40" spans="1:8" x14ac:dyDescent="0.3">
      <c r="A40" s="1" t="s">
        <v>113</v>
      </c>
      <c r="B40" s="1" t="s">
        <v>114</v>
      </c>
      <c r="C40" s="1" t="s">
        <v>41</v>
      </c>
      <c r="D40" s="4">
        <v>46276</v>
      </c>
      <c r="E40" s="1">
        <v>30</v>
      </c>
      <c r="F40" s="1">
        <v>5</v>
      </c>
      <c r="G40" s="1">
        <v>1243.74</v>
      </c>
      <c r="H40" s="1" t="s">
        <v>32</v>
      </c>
    </row>
    <row r="41" spans="1:8" x14ac:dyDescent="0.3">
      <c r="A41" s="1" t="s">
        <v>115</v>
      </c>
      <c r="B41" s="1" t="s">
        <v>116</v>
      </c>
      <c r="C41" s="1" t="s">
        <v>45</v>
      </c>
      <c r="D41" s="4">
        <v>46279</v>
      </c>
      <c r="E41" s="1">
        <v>25</v>
      </c>
      <c r="F41" s="1">
        <v>2</v>
      </c>
      <c r="G41" s="1">
        <v>868.46</v>
      </c>
      <c r="H41" s="1" t="s">
        <v>32</v>
      </c>
    </row>
    <row r="42" spans="1:8" x14ac:dyDescent="0.3">
      <c r="A42" s="1" t="s">
        <v>117</v>
      </c>
      <c r="B42" s="1" t="s">
        <v>118</v>
      </c>
      <c r="C42" s="1" t="s">
        <v>31</v>
      </c>
      <c r="D42" s="4">
        <v>46283</v>
      </c>
      <c r="E42" s="1">
        <v>64</v>
      </c>
      <c r="F42" s="1">
        <v>1</v>
      </c>
      <c r="G42" s="1">
        <v>894.71</v>
      </c>
      <c r="H42" s="1" t="s">
        <v>32</v>
      </c>
    </row>
    <row r="43" spans="1:8" x14ac:dyDescent="0.3">
      <c r="A43" s="1" t="s">
        <v>119</v>
      </c>
      <c r="B43" s="1" t="s">
        <v>120</v>
      </c>
      <c r="C43" s="1" t="s">
        <v>35</v>
      </c>
      <c r="D43" s="4">
        <v>46280</v>
      </c>
      <c r="E43" s="1">
        <v>55</v>
      </c>
      <c r="F43" s="1">
        <v>2</v>
      </c>
      <c r="G43" s="1">
        <v>872.95</v>
      </c>
      <c r="H43" s="1" t="s">
        <v>32</v>
      </c>
    </row>
    <row r="44" spans="1:8" x14ac:dyDescent="0.3">
      <c r="A44" s="1" t="s">
        <v>121</v>
      </c>
      <c r="B44" s="1" t="s">
        <v>122</v>
      </c>
      <c r="C44" s="1" t="s">
        <v>38</v>
      </c>
      <c r="D44" s="4">
        <v>46273</v>
      </c>
      <c r="E44" s="1">
        <v>65</v>
      </c>
      <c r="F44" s="1">
        <v>5</v>
      </c>
      <c r="G44" s="1">
        <v>276.60000000000002</v>
      </c>
      <c r="H44" s="1" t="s">
        <v>32</v>
      </c>
    </row>
    <row r="45" spans="1:8" x14ac:dyDescent="0.3">
      <c r="A45" s="1" t="s">
        <v>123</v>
      </c>
      <c r="B45" s="1" t="s">
        <v>124</v>
      </c>
      <c r="C45" s="1" t="s">
        <v>41</v>
      </c>
      <c r="D45" s="4">
        <v>46270</v>
      </c>
      <c r="E45" s="1">
        <v>43</v>
      </c>
      <c r="F45" s="1">
        <v>1</v>
      </c>
      <c r="G45" s="1">
        <v>368.71</v>
      </c>
      <c r="H45" s="1" t="s">
        <v>90</v>
      </c>
    </row>
    <row r="46" spans="1:8" x14ac:dyDescent="0.3">
      <c r="A46" s="1" t="s">
        <v>125</v>
      </c>
      <c r="B46" s="1" t="s">
        <v>126</v>
      </c>
      <c r="C46" s="1" t="s">
        <v>45</v>
      </c>
      <c r="D46" s="4">
        <v>46288</v>
      </c>
      <c r="E46" s="1">
        <v>47</v>
      </c>
      <c r="F46" s="1">
        <v>2</v>
      </c>
      <c r="G46" s="1">
        <v>495.43</v>
      </c>
      <c r="H46" s="1" t="s">
        <v>32</v>
      </c>
    </row>
    <row r="47" spans="1:8" x14ac:dyDescent="0.3">
      <c r="A47" s="1" t="s">
        <v>127</v>
      </c>
      <c r="B47" s="1" t="s">
        <v>128</v>
      </c>
      <c r="C47" s="1" t="s">
        <v>31</v>
      </c>
      <c r="D47" s="4">
        <v>46282</v>
      </c>
      <c r="E47" s="1">
        <v>75</v>
      </c>
      <c r="F47" s="1">
        <v>5</v>
      </c>
      <c r="G47" s="1">
        <v>1083.8499999999999</v>
      </c>
      <c r="H47" s="1" t="s">
        <v>32</v>
      </c>
    </row>
    <row r="48" spans="1:8" x14ac:dyDescent="0.3">
      <c r="A48" s="1" t="s">
        <v>129</v>
      </c>
      <c r="B48" s="1" t="s">
        <v>130</v>
      </c>
      <c r="C48" s="1" t="s">
        <v>35</v>
      </c>
      <c r="D48" s="4">
        <v>46269</v>
      </c>
      <c r="E48" s="1">
        <v>71</v>
      </c>
      <c r="F48" s="1">
        <v>5</v>
      </c>
      <c r="G48" s="1">
        <v>663.48</v>
      </c>
      <c r="H48" s="1" t="s">
        <v>32</v>
      </c>
    </row>
    <row r="49" spans="1:8" x14ac:dyDescent="0.3">
      <c r="A49" s="1" t="s">
        <v>131</v>
      </c>
      <c r="B49" s="1" t="s">
        <v>132</v>
      </c>
      <c r="C49" s="1" t="s">
        <v>38</v>
      </c>
      <c r="D49" s="4">
        <v>46268</v>
      </c>
      <c r="E49" s="1">
        <v>29</v>
      </c>
      <c r="F49" s="1">
        <v>3</v>
      </c>
      <c r="G49" s="1">
        <v>1225.43</v>
      </c>
      <c r="H49" s="1" t="s">
        <v>32</v>
      </c>
    </row>
    <row r="50" spans="1:8" x14ac:dyDescent="0.3">
      <c r="A50" s="1" t="s">
        <v>133</v>
      </c>
      <c r="B50" s="1" t="s">
        <v>134</v>
      </c>
      <c r="C50" s="1" t="s">
        <v>41</v>
      </c>
      <c r="D50" s="4">
        <v>46291</v>
      </c>
      <c r="E50" s="1">
        <v>26</v>
      </c>
      <c r="F50" s="1">
        <v>3</v>
      </c>
      <c r="G50" s="1">
        <v>631.76</v>
      </c>
      <c r="H50" s="1" t="s">
        <v>90</v>
      </c>
    </row>
    <row r="51" spans="1:8" x14ac:dyDescent="0.3">
      <c r="A51" s="1" t="s">
        <v>135</v>
      </c>
      <c r="B51" s="1" t="s">
        <v>136</v>
      </c>
      <c r="C51" s="1" t="s">
        <v>45</v>
      </c>
      <c r="D51" s="4">
        <v>46282</v>
      </c>
      <c r="E51" s="1">
        <v>15</v>
      </c>
      <c r="F51" s="1">
        <v>1</v>
      </c>
      <c r="G51" s="1">
        <v>233.36</v>
      </c>
      <c r="H51" s="1" t="s">
        <v>42</v>
      </c>
    </row>
  </sheetData>
  <conditionalFormatting sqref="E2:E51">
    <cfRule type="cellIs" dxfId="2" priority="1" operator="lessThanOrEqual">
      <formula>30</formula>
    </cfRule>
    <cfRule type="cellIs" dxfId="1" priority="2" operator="between">
      <formula>31</formula>
      <formula>45</formula>
    </cfRule>
    <cfRule type="cellIs" dxfId="0" priority="3" operator="greaterThan">
      <formula>45</formula>
    </cfRule>
  </conditionalFormatting>
  <dataValidations count="2">
    <dataValidation type="list" sqref="C2:C51" xr:uid="{00000000-0002-0000-0200-000000000000}">
      <formula1>"Indian,Chinese,Italian,Mexican,Thai"</formula1>
    </dataValidation>
    <dataValidation type="whole" showInputMessage="1" showErrorMessage="1" errorTitle="Invalid Rating" error="Rating must be 1 to 5" promptTitle="Rating" prompt="Enter whole number 1 to 5" sqref="F2:F51" xr:uid="{00000000-0002-0000-0200-000001000000}">
      <formula1>1</formula1>
      <formula2>5</formula2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10" customWidth="1"/>
    <col min="4" max="4" width="12" customWidth="1"/>
    <col min="5" max="5" width="14" customWidth="1"/>
    <col min="6" max="7" width="10" customWidth="1"/>
    <col min="8" max="8" width="11" customWidth="1"/>
    <col min="9" max="9" width="10" customWidth="1"/>
    <col min="10" max="10" width="11" customWidth="1"/>
    <col min="11" max="12" width="10" customWidth="1"/>
  </cols>
  <sheetData>
    <row r="1" spans="1:12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/>
      <c r="J1" s="2" t="s">
        <v>137</v>
      </c>
      <c r="K1" s="2"/>
      <c r="L1" s="2"/>
    </row>
    <row r="2" spans="1:12" x14ac:dyDescent="0.3">
      <c r="A2" s="1" t="s">
        <v>33</v>
      </c>
      <c r="B2" s="1" t="s">
        <v>34</v>
      </c>
      <c r="C2" s="1" t="s">
        <v>35</v>
      </c>
      <c r="D2" s="4">
        <v>46275</v>
      </c>
      <c r="E2" s="1">
        <v>20</v>
      </c>
      <c r="F2" s="1">
        <v>5</v>
      </c>
      <c r="G2" s="1">
        <v>934.94</v>
      </c>
      <c r="H2" s="1" t="s">
        <v>32</v>
      </c>
      <c r="I2" s="1"/>
      <c r="J2" s="1" t="s">
        <v>28</v>
      </c>
      <c r="K2" s="1" t="s">
        <v>27</v>
      </c>
      <c r="L2" s="1" t="s">
        <v>26</v>
      </c>
    </row>
    <row r="3" spans="1:12" x14ac:dyDescent="0.3">
      <c r="A3" s="1" t="s">
        <v>36</v>
      </c>
      <c r="B3" s="1" t="s">
        <v>37</v>
      </c>
      <c r="C3" s="1" t="s">
        <v>38</v>
      </c>
      <c r="D3" s="4">
        <v>46271</v>
      </c>
      <c r="E3" s="1">
        <v>62</v>
      </c>
      <c r="F3" s="1">
        <v>4</v>
      </c>
      <c r="G3" s="1">
        <v>798.35</v>
      </c>
      <c r="H3" s="1" t="s">
        <v>32</v>
      </c>
      <c r="I3" s="1"/>
      <c r="J3" s="1" t="s">
        <v>32</v>
      </c>
      <c r="K3" s="1" t="s">
        <v>138</v>
      </c>
      <c r="L3" s="1" t="s">
        <v>139</v>
      </c>
    </row>
    <row r="4" spans="1:12" x14ac:dyDescent="0.3">
      <c r="A4" s="1" t="s">
        <v>56</v>
      </c>
      <c r="B4" s="1" t="s">
        <v>57</v>
      </c>
      <c r="C4" s="1" t="s">
        <v>31</v>
      </c>
      <c r="D4" s="4">
        <v>46280</v>
      </c>
      <c r="E4" s="1">
        <v>74</v>
      </c>
      <c r="F4" s="1">
        <v>4</v>
      </c>
      <c r="G4" s="1">
        <v>923.6</v>
      </c>
      <c r="H4" s="1" t="s">
        <v>32</v>
      </c>
      <c r="I4" s="1"/>
      <c r="J4" s="1"/>
      <c r="K4" s="1"/>
      <c r="L4" s="1"/>
    </row>
    <row r="5" spans="1:12" x14ac:dyDescent="0.3">
      <c r="A5" s="1" t="s">
        <v>62</v>
      </c>
      <c r="B5" s="1" t="s">
        <v>63</v>
      </c>
      <c r="C5" s="1" t="s">
        <v>41</v>
      </c>
      <c r="D5" s="4">
        <v>46281</v>
      </c>
      <c r="E5" s="1">
        <v>61</v>
      </c>
      <c r="F5" s="1">
        <v>4</v>
      </c>
      <c r="G5" s="1">
        <v>1373.86</v>
      </c>
      <c r="H5" s="1" t="s">
        <v>32</v>
      </c>
      <c r="I5" s="1"/>
      <c r="J5" s="1"/>
      <c r="K5" s="1"/>
      <c r="L5" s="1"/>
    </row>
    <row r="6" spans="1:12" x14ac:dyDescent="0.3">
      <c r="A6" s="1" t="s">
        <v>68</v>
      </c>
      <c r="B6" s="1" t="s">
        <v>69</v>
      </c>
      <c r="C6" s="1" t="s">
        <v>35</v>
      </c>
      <c r="D6" s="4">
        <v>46276</v>
      </c>
      <c r="E6" s="1">
        <v>62</v>
      </c>
      <c r="F6" s="1">
        <v>5</v>
      </c>
      <c r="G6" s="1">
        <v>1416.43</v>
      </c>
      <c r="H6" s="1" t="s">
        <v>32</v>
      </c>
      <c r="I6" s="1"/>
      <c r="J6" s="1"/>
      <c r="K6" s="1"/>
      <c r="L6" s="1"/>
    </row>
    <row r="7" spans="1:12" x14ac:dyDescent="0.3">
      <c r="A7" s="1" t="s">
        <v>70</v>
      </c>
      <c r="B7" s="1" t="s">
        <v>71</v>
      </c>
      <c r="C7" s="1" t="s">
        <v>38</v>
      </c>
      <c r="D7" s="4">
        <v>46293</v>
      </c>
      <c r="E7" s="1">
        <v>44</v>
      </c>
      <c r="F7" s="1">
        <v>5</v>
      </c>
      <c r="G7" s="1">
        <v>504.2</v>
      </c>
      <c r="H7" s="1" t="s">
        <v>32</v>
      </c>
      <c r="I7" s="1"/>
      <c r="J7" s="1"/>
      <c r="K7" s="1"/>
      <c r="L7" s="1"/>
    </row>
    <row r="8" spans="1:12" x14ac:dyDescent="0.3">
      <c r="A8" s="1" t="s">
        <v>74</v>
      </c>
      <c r="B8" s="1" t="s">
        <v>75</v>
      </c>
      <c r="C8" s="1" t="s">
        <v>45</v>
      </c>
      <c r="D8" s="4">
        <v>46275</v>
      </c>
      <c r="E8" s="1">
        <v>35</v>
      </c>
      <c r="F8" s="1">
        <v>4</v>
      </c>
      <c r="G8" s="1">
        <v>1524.99</v>
      </c>
      <c r="H8" s="1" t="s">
        <v>32</v>
      </c>
      <c r="I8" s="1"/>
      <c r="J8" s="1"/>
      <c r="K8" s="1"/>
      <c r="L8" s="1"/>
    </row>
    <row r="9" spans="1:12" x14ac:dyDescent="0.3">
      <c r="A9" s="1" t="s">
        <v>82</v>
      </c>
      <c r="B9" s="1" t="s">
        <v>83</v>
      </c>
      <c r="C9" s="1" t="s">
        <v>41</v>
      </c>
      <c r="D9" s="4">
        <v>46280</v>
      </c>
      <c r="E9" s="1">
        <v>74</v>
      </c>
      <c r="F9" s="1">
        <v>4</v>
      </c>
      <c r="G9" s="1">
        <v>1286.7</v>
      </c>
      <c r="H9" s="1" t="s">
        <v>32</v>
      </c>
      <c r="I9" s="1"/>
      <c r="J9" s="1"/>
      <c r="K9" s="1"/>
      <c r="L9" s="1"/>
    </row>
    <row r="10" spans="1:12" x14ac:dyDescent="0.3">
      <c r="A10" s="1" t="s">
        <v>86</v>
      </c>
      <c r="B10" s="1" t="s">
        <v>87</v>
      </c>
      <c r="C10" s="1" t="s">
        <v>31</v>
      </c>
      <c r="D10" s="4">
        <v>46278</v>
      </c>
      <c r="E10" s="1">
        <v>18</v>
      </c>
      <c r="F10" s="1">
        <v>4</v>
      </c>
      <c r="G10" s="1">
        <v>1483.28</v>
      </c>
      <c r="H10" s="1" t="s">
        <v>32</v>
      </c>
      <c r="I10" s="1"/>
      <c r="J10" s="1"/>
      <c r="K10" s="1"/>
      <c r="L10" s="1"/>
    </row>
    <row r="11" spans="1:12" x14ac:dyDescent="0.3">
      <c r="A11" s="1" t="s">
        <v>95</v>
      </c>
      <c r="B11" s="1" t="s">
        <v>96</v>
      </c>
      <c r="C11" s="1" t="s">
        <v>45</v>
      </c>
      <c r="D11" s="4">
        <v>46269</v>
      </c>
      <c r="E11" s="1">
        <v>40</v>
      </c>
      <c r="F11" s="1">
        <v>4</v>
      </c>
      <c r="G11" s="1">
        <v>602.44000000000005</v>
      </c>
      <c r="H11" s="1" t="s">
        <v>32</v>
      </c>
      <c r="I11" s="1"/>
      <c r="J11" s="1"/>
      <c r="K11" s="1"/>
      <c r="L11" s="1"/>
    </row>
    <row r="12" spans="1:12" x14ac:dyDescent="0.3">
      <c r="A12" s="1" t="s">
        <v>113</v>
      </c>
      <c r="B12" s="1" t="s">
        <v>114</v>
      </c>
      <c r="C12" s="1" t="s">
        <v>41</v>
      </c>
      <c r="D12" s="4">
        <v>46276</v>
      </c>
      <c r="E12" s="1">
        <v>30</v>
      </c>
      <c r="F12" s="1">
        <v>5</v>
      </c>
      <c r="G12" s="1">
        <v>1243.74</v>
      </c>
      <c r="H12" s="1" t="s">
        <v>32</v>
      </c>
      <c r="I12" s="1"/>
      <c r="J12" s="1"/>
      <c r="K12" s="1"/>
      <c r="L12" s="1"/>
    </row>
    <row r="13" spans="1:12" x14ac:dyDescent="0.3">
      <c r="A13" s="1" t="s">
        <v>127</v>
      </c>
      <c r="B13" s="1" t="s">
        <v>128</v>
      </c>
      <c r="C13" s="1" t="s">
        <v>31</v>
      </c>
      <c r="D13" s="4">
        <v>46282</v>
      </c>
      <c r="E13" s="1">
        <v>75</v>
      </c>
      <c r="F13" s="1">
        <v>5</v>
      </c>
      <c r="G13" s="1">
        <v>1083.8499999999999</v>
      </c>
      <c r="H13" s="1" t="s">
        <v>32</v>
      </c>
      <c r="I13" s="1"/>
      <c r="J13" s="1"/>
      <c r="K13" s="1"/>
      <c r="L13" s="1"/>
    </row>
    <row r="14" spans="1:12" x14ac:dyDescent="0.3">
      <c r="A14" s="1" t="s">
        <v>129</v>
      </c>
      <c r="B14" s="1" t="s">
        <v>130</v>
      </c>
      <c r="C14" s="1" t="s">
        <v>35</v>
      </c>
      <c r="D14" s="4">
        <v>46269</v>
      </c>
      <c r="E14" s="1">
        <v>71</v>
      </c>
      <c r="F14" s="1">
        <v>5</v>
      </c>
      <c r="G14" s="1">
        <v>663.48</v>
      </c>
      <c r="H14" s="1" t="s">
        <v>32</v>
      </c>
      <c r="I14" s="1"/>
      <c r="J14" s="1"/>
      <c r="K14" s="1"/>
      <c r="L14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4" customWidth="1"/>
    <col min="2" max="2" width="16" customWidth="1"/>
    <col min="3" max="3" width="10" customWidth="1"/>
    <col min="4" max="4" width="15" customWidth="1"/>
    <col min="5" max="5" width="11" customWidth="1"/>
  </cols>
  <sheetData>
    <row r="1" spans="1:5" x14ac:dyDescent="0.3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</row>
    <row r="2" spans="1:5" x14ac:dyDescent="0.3">
      <c r="A2" s="1" t="s">
        <v>145</v>
      </c>
      <c r="B2" s="1" t="s">
        <v>146</v>
      </c>
      <c r="C2" s="1" t="s">
        <v>147</v>
      </c>
      <c r="D2" s="1" t="s">
        <v>148</v>
      </c>
      <c r="E2" s="1">
        <v>4.8</v>
      </c>
    </row>
    <row r="3" spans="1:5" x14ac:dyDescent="0.3">
      <c r="A3" s="1" t="s">
        <v>149</v>
      </c>
      <c r="B3" s="1" t="s">
        <v>150</v>
      </c>
      <c r="C3" s="1" t="s">
        <v>151</v>
      </c>
      <c r="D3" s="1" t="s">
        <v>152</v>
      </c>
      <c r="E3" s="1">
        <v>4.8</v>
      </c>
    </row>
    <row r="4" spans="1:5" x14ac:dyDescent="0.3">
      <c r="A4" s="1" t="s">
        <v>153</v>
      </c>
      <c r="B4" s="1" t="s">
        <v>154</v>
      </c>
      <c r="C4" s="1" t="s">
        <v>155</v>
      </c>
      <c r="D4" s="1" t="s">
        <v>156</v>
      </c>
      <c r="E4" s="1">
        <v>4</v>
      </c>
    </row>
    <row r="5" spans="1:5" x14ac:dyDescent="0.3">
      <c r="A5" s="1" t="s">
        <v>157</v>
      </c>
      <c r="B5" s="1" t="s">
        <v>158</v>
      </c>
      <c r="C5" s="1" t="s">
        <v>159</v>
      </c>
      <c r="D5" s="1" t="s">
        <v>148</v>
      </c>
      <c r="E5" s="1">
        <v>3.9</v>
      </c>
    </row>
    <row r="6" spans="1:5" x14ac:dyDescent="0.3">
      <c r="A6" s="1" t="s">
        <v>160</v>
      </c>
      <c r="B6" s="1" t="s">
        <v>161</v>
      </c>
      <c r="C6" s="1" t="s">
        <v>162</v>
      </c>
      <c r="D6" s="1" t="s">
        <v>152</v>
      </c>
      <c r="E6" s="1">
        <v>4</v>
      </c>
    </row>
    <row r="7" spans="1:5" x14ac:dyDescent="0.3">
      <c r="A7" s="1" t="s">
        <v>163</v>
      </c>
      <c r="B7" s="1" t="s">
        <v>164</v>
      </c>
      <c r="C7" s="1" t="s">
        <v>147</v>
      </c>
      <c r="D7" s="1" t="s">
        <v>156</v>
      </c>
      <c r="E7" s="1">
        <v>4.7</v>
      </c>
    </row>
    <row r="8" spans="1:5" x14ac:dyDescent="0.3">
      <c r="A8" s="1" t="s">
        <v>165</v>
      </c>
      <c r="B8" s="1" t="s">
        <v>166</v>
      </c>
      <c r="C8" s="1" t="s">
        <v>151</v>
      </c>
      <c r="D8" s="1" t="s">
        <v>148</v>
      </c>
      <c r="E8" s="1">
        <v>4.4000000000000004</v>
      </c>
    </row>
    <row r="9" spans="1:5" x14ac:dyDescent="0.3">
      <c r="A9" s="1" t="s">
        <v>167</v>
      </c>
      <c r="B9" s="1" t="s">
        <v>168</v>
      </c>
      <c r="C9" s="1" t="s">
        <v>155</v>
      </c>
      <c r="D9" s="1" t="s">
        <v>152</v>
      </c>
      <c r="E9" s="1">
        <v>3.9</v>
      </c>
    </row>
    <row r="10" spans="1:5" x14ac:dyDescent="0.3">
      <c r="A10" s="1" t="s">
        <v>169</v>
      </c>
      <c r="B10" s="1" t="s">
        <v>170</v>
      </c>
      <c r="C10" s="1" t="s">
        <v>159</v>
      </c>
      <c r="D10" s="1" t="s">
        <v>156</v>
      </c>
      <c r="E10" s="1">
        <v>4.3</v>
      </c>
    </row>
    <row r="11" spans="1:5" x14ac:dyDescent="0.3">
      <c r="A11" s="1" t="s">
        <v>171</v>
      </c>
      <c r="B11" s="1" t="s">
        <v>172</v>
      </c>
      <c r="C11" s="1" t="s">
        <v>162</v>
      </c>
      <c r="D11" s="1" t="s">
        <v>148</v>
      </c>
      <c r="E11" s="1">
        <v>4.8</v>
      </c>
    </row>
    <row r="12" spans="1:5" x14ac:dyDescent="0.3">
      <c r="A12" s="1" t="s">
        <v>173</v>
      </c>
      <c r="B12" s="1" t="s">
        <v>174</v>
      </c>
      <c r="C12" s="1" t="s">
        <v>147</v>
      </c>
      <c r="D12" s="1" t="s">
        <v>152</v>
      </c>
      <c r="E12" s="1">
        <v>4.5999999999999996</v>
      </c>
    </row>
    <row r="13" spans="1:5" x14ac:dyDescent="0.3">
      <c r="A13" s="1" t="s">
        <v>175</v>
      </c>
      <c r="B13" s="1" t="s">
        <v>176</v>
      </c>
      <c r="C13" s="1" t="s">
        <v>151</v>
      </c>
      <c r="D13" s="1" t="s">
        <v>156</v>
      </c>
      <c r="E13" s="1">
        <v>4.5</v>
      </c>
    </row>
    <row r="14" spans="1:5" x14ac:dyDescent="0.3">
      <c r="A14" s="1" t="s">
        <v>177</v>
      </c>
      <c r="B14" s="1" t="s">
        <v>178</v>
      </c>
      <c r="C14" s="1" t="s">
        <v>155</v>
      </c>
      <c r="D14" s="1" t="s">
        <v>148</v>
      </c>
      <c r="E14" s="1">
        <v>3.9</v>
      </c>
    </row>
    <row r="15" spans="1:5" x14ac:dyDescent="0.3">
      <c r="A15" s="1" t="s">
        <v>179</v>
      </c>
      <c r="B15" s="1" t="s">
        <v>180</v>
      </c>
      <c r="C15" s="1" t="s">
        <v>159</v>
      </c>
      <c r="D15" s="1" t="s">
        <v>152</v>
      </c>
      <c r="E15" s="1">
        <v>4.5999999999999996</v>
      </c>
    </row>
    <row r="16" spans="1:5" x14ac:dyDescent="0.3">
      <c r="A16" s="1" t="s">
        <v>181</v>
      </c>
      <c r="B16" s="1" t="s">
        <v>182</v>
      </c>
      <c r="C16" s="1" t="s">
        <v>162</v>
      </c>
      <c r="D16" s="1" t="s">
        <v>156</v>
      </c>
      <c r="E16" s="1">
        <v>4.0999999999999996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10" customWidth="1"/>
    <col min="4" max="5" width="35" customWidth="1"/>
    <col min="6" max="6" width="10" customWidth="1"/>
    <col min="7" max="7" width="14" customWidth="1"/>
    <col min="8" max="8" width="35" customWidth="1"/>
  </cols>
  <sheetData>
    <row r="1" spans="1:8" x14ac:dyDescent="0.3">
      <c r="A1" s="2" t="s">
        <v>21</v>
      </c>
      <c r="B1" s="2" t="s">
        <v>140</v>
      </c>
      <c r="C1" s="2" t="s">
        <v>27</v>
      </c>
      <c r="D1" s="2" t="s">
        <v>183</v>
      </c>
      <c r="E1" s="2" t="s">
        <v>184</v>
      </c>
      <c r="F1" s="1"/>
      <c r="G1" s="1" t="s">
        <v>185</v>
      </c>
      <c r="H1" s="1"/>
    </row>
    <row r="2" spans="1:8" x14ac:dyDescent="0.3">
      <c r="A2" s="2" t="s">
        <v>186</v>
      </c>
      <c r="B2" s="2" t="s">
        <v>160</v>
      </c>
      <c r="C2" s="2">
        <v>1011.09</v>
      </c>
      <c r="D2" s="2" t="e">
        <f ca="1">_xludf.XLOOKUP(B2,Restaurants!$A$2:$A$16,Restaurants!$B$2:$B$16,"Not Listed")</f>
        <v>#NAME?</v>
      </c>
      <c r="E2" s="2" t="str">
        <f>IFERROR(INDEX(Restaurants!$C$2:$C$16,MATCH(B2,Restaurants!$A$2:$A$16,0)),"Not Listed")</f>
        <v>Central</v>
      </c>
      <c r="F2" s="2"/>
      <c r="G2" s="2" t="s">
        <v>142</v>
      </c>
      <c r="H2" s="2" t="s">
        <v>187</v>
      </c>
    </row>
    <row r="3" spans="1:8" x14ac:dyDescent="0.3">
      <c r="A3" s="1" t="s">
        <v>188</v>
      </c>
      <c r="B3" s="1" t="s">
        <v>173</v>
      </c>
      <c r="C3" s="1">
        <v>1309.3699999999999</v>
      </c>
      <c r="D3" s="1" t="e">
        <f ca="1">_xludf.XLOOKUP(B3,Restaurants!$A$2:$A$16,Restaurants!$B$2:$B$16,"Not Listed")</f>
        <v>#NAME?</v>
      </c>
      <c r="E3" s="1" t="str">
        <f>IFERROR(INDEX(Restaurants!$C$2:$C$16,MATCH(B3,Restaurants!$A$2:$A$16,0)),"Not Listed")</f>
        <v>North</v>
      </c>
      <c r="F3" s="1"/>
      <c r="G3" s="1" t="s">
        <v>147</v>
      </c>
      <c r="H3" s="1">
        <f>AVERAGEIF($E$2:$E$41,G3,$C$2:$C$41)</f>
        <v>1246.4157142857143</v>
      </c>
    </row>
    <row r="4" spans="1:8" x14ac:dyDescent="0.3">
      <c r="A4" s="1" t="s">
        <v>189</v>
      </c>
      <c r="B4" s="1" t="s">
        <v>160</v>
      </c>
      <c r="C4" s="1">
        <v>1213.1600000000001</v>
      </c>
      <c r="D4" s="1" t="e">
        <f ca="1">_xludf.XLOOKUP(B4,Restaurants!$A$2:$A$16,Restaurants!$B$2:$B$16,"Not Listed")</f>
        <v>#NAME?</v>
      </c>
      <c r="E4" s="1" t="str">
        <f>IFERROR(INDEX(Restaurants!$C$2:$C$16,MATCH(B4,Restaurants!$A$2:$A$16,0)),"Not Listed")</f>
        <v>Central</v>
      </c>
      <c r="F4" s="1"/>
      <c r="G4" s="1" t="s">
        <v>151</v>
      </c>
      <c r="H4" s="1">
        <f>AVERAGEIF($E$2:$E$41,G4,$C$2:$C$41)</f>
        <v>841.0766666666666</v>
      </c>
    </row>
    <row r="5" spans="1:8" x14ac:dyDescent="0.3">
      <c r="A5" s="1" t="s">
        <v>190</v>
      </c>
      <c r="B5" s="1" t="s">
        <v>179</v>
      </c>
      <c r="C5" s="1">
        <v>282.17</v>
      </c>
      <c r="D5" s="1" t="e">
        <f ca="1">_xludf.XLOOKUP(B5,Restaurants!$A$2:$A$16,Restaurants!$B$2:$B$16,"Not Listed")</f>
        <v>#NAME?</v>
      </c>
      <c r="E5" s="1" t="str">
        <f>IFERROR(INDEX(Restaurants!$C$2:$C$16,MATCH(B5,Restaurants!$A$2:$A$16,0)),"Not Listed")</f>
        <v>West</v>
      </c>
      <c r="F5" s="1"/>
      <c r="G5" s="1" t="s">
        <v>155</v>
      </c>
      <c r="H5" s="1">
        <f>AVERAGEIF($E$2:$E$41,G5,$C$2:$C$41)</f>
        <v>1243.6949999999999</v>
      </c>
    </row>
    <row r="6" spans="1:8" x14ac:dyDescent="0.3">
      <c r="A6" s="1" t="s">
        <v>191</v>
      </c>
      <c r="B6" s="1" t="s">
        <v>167</v>
      </c>
      <c r="C6" s="1">
        <v>1288.0999999999999</v>
      </c>
      <c r="D6" s="1" t="e">
        <f ca="1">_xludf.XLOOKUP(B6,Restaurants!$A$2:$A$16,Restaurants!$B$2:$B$16,"Not Listed")</f>
        <v>#NAME?</v>
      </c>
      <c r="E6" s="1" t="str">
        <f>IFERROR(INDEX(Restaurants!$C$2:$C$16,MATCH(B6,Restaurants!$A$2:$A$16,0)),"Not Listed")</f>
        <v>East</v>
      </c>
      <c r="F6" s="1"/>
      <c r="G6" s="1" t="s">
        <v>159</v>
      </c>
      <c r="H6" s="1">
        <f>AVERAGEIF($E$2:$E$41,G6,$C$2:$C$41)</f>
        <v>876.30166666666673</v>
      </c>
    </row>
    <row r="7" spans="1:8" x14ac:dyDescent="0.3">
      <c r="A7" s="1" t="s">
        <v>192</v>
      </c>
      <c r="B7" s="1" t="s">
        <v>173</v>
      </c>
      <c r="C7" s="1">
        <v>1678.43</v>
      </c>
      <c r="D7" s="1" t="e">
        <f ca="1">_xludf.XLOOKUP(B7,Restaurants!$A$2:$A$16,Restaurants!$B$2:$B$16,"Not Listed")</f>
        <v>#NAME?</v>
      </c>
      <c r="E7" s="1" t="str">
        <f>IFERROR(INDEX(Restaurants!$C$2:$C$16,MATCH(B7,Restaurants!$A$2:$A$16,0)),"Not Listed")</f>
        <v>North</v>
      </c>
      <c r="F7" s="1"/>
      <c r="G7" s="1" t="s">
        <v>162</v>
      </c>
      <c r="H7" s="1">
        <f>AVERAGEIF($E$2:$E$41,G7,$C$2:$C$41)</f>
        <v>876.32399999999984</v>
      </c>
    </row>
    <row r="8" spans="1:8" x14ac:dyDescent="0.3">
      <c r="A8" s="1" t="s">
        <v>193</v>
      </c>
      <c r="B8" s="1" t="s">
        <v>145</v>
      </c>
      <c r="C8" s="1">
        <v>1424.55</v>
      </c>
      <c r="D8" s="1" t="e">
        <f ca="1">_xludf.XLOOKUP(B8,Restaurants!$A$2:$A$16,Restaurants!$B$2:$B$16,"Not Listed")</f>
        <v>#NAME?</v>
      </c>
      <c r="E8" s="1" t="str">
        <f>IFERROR(INDEX(Restaurants!$C$2:$C$16,MATCH(B8,Restaurants!$A$2:$A$16,0)),"Not Listed")</f>
        <v>North</v>
      </c>
      <c r="F8" s="1"/>
      <c r="G8" s="1"/>
      <c r="H8" s="1"/>
    </row>
    <row r="9" spans="1:8" x14ac:dyDescent="0.3">
      <c r="A9" s="1" t="s">
        <v>194</v>
      </c>
      <c r="B9" s="1" t="s">
        <v>177</v>
      </c>
      <c r="C9" s="1">
        <v>1067.5899999999999</v>
      </c>
      <c r="D9" s="1" t="e">
        <f ca="1">_xludf.XLOOKUP(B9,Restaurants!$A$2:$A$16,Restaurants!$B$2:$B$16,"Not Listed")</f>
        <v>#NAME?</v>
      </c>
      <c r="E9" s="1" t="str">
        <f>IFERROR(INDEX(Restaurants!$C$2:$C$16,MATCH(B9,Restaurants!$A$2:$A$16,0)),"Not Listed")</f>
        <v>East</v>
      </c>
      <c r="F9" s="1"/>
      <c r="G9" s="1"/>
      <c r="H9" s="1"/>
    </row>
    <row r="10" spans="1:8" x14ac:dyDescent="0.3">
      <c r="A10" s="1" t="s">
        <v>195</v>
      </c>
      <c r="B10" s="1" t="s">
        <v>177</v>
      </c>
      <c r="C10" s="1">
        <v>1457.26</v>
      </c>
      <c r="D10" s="1" t="e">
        <f ca="1">_xludf.XLOOKUP(B10,Restaurants!$A$2:$A$16,Restaurants!$B$2:$B$16,"Not Listed")</f>
        <v>#NAME?</v>
      </c>
      <c r="E10" s="1" t="str">
        <f>IFERROR(INDEX(Restaurants!$C$2:$C$16,MATCH(B10,Restaurants!$A$2:$A$16,0)),"Not Listed")</f>
        <v>East</v>
      </c>
      <c r="F10" s="1"/>
      <c r="G10" s="1"/>
      <c r="H10" s="1"/>
    </row>
    <row r="11" spans="1:8" x14ac:dyDescent="0.3">
      <c r="A11" s="1" t="s">
        <v>196</v>
      </c>
      <c r="B11" s="1" t="s">
        <v>177</v>
      </c>
      <c r="C11" s="1">
        <v>1780.84</v>
      </c>
      <c r="D11" s="1" t="e">
        <f ca="1">_xludf.XLOOKUP(B11,Restaurants!$A$2:$A$16,Restaurants!$B$2:$B$16,"Not Listed")</f>
        <v>#NAME?</v>
      </c>
      <c r="E11" s="1" t="str">
        <f>IFERROR(INDEX(Restaurants!$C$2:$C$16,MATCH(B11,Restaurants!$A$2:$A$16,0)),"Not Listed")</f>
        <v>East</v>
      </c>
      <c r="F11" s="1"/>
      <c r="G11" s="1"/>
      <c r="H11" s="1"/>
    </row>
    <row r="12" spans="1:8" x14ac:dyDescent="0.3">
      <c r="A12" s="1" t="s">
        <v>197</v>
      </c>
      <c r="B12" s="1" t="s">
        <v>175</v>
      </c>
      <c r="C12" s="1">
        <v>1304.6600000000001</v>
      </c>
      <c r="D12" s="1" t="e">
        <f ca="1">_xludf.XLOOKUP(B12,Restaurants!$A$2:$A$16,Restaurants!$B$2:$B$16,"Not Listed")</f>
        <v>#NAME?</v>
      </c>
      <c r="E12" s="1" t="str">
        <f>IFERROR(INDEX(Restaurants!$C$2:$C$16,MATCH(B12,Restaurants!$A$2:$A$16,0)),"Not Listed")</f>
        <v>South</v>
      </c>
      <c r="F12" s="1"/>
      <c r="G12" s="1"/>
      <c r="H12" s="1"/>
    </row>
    <row r="13" spans="1:8" x14ac:dyDescent="0.3">
      <c r="A13" s="1" t="s">
        <v>198</v>
      </c>
      <c r="B13" s="1" t="s">
        <v>181</v>
      </c>
      <c r="C13" s="1">
        <v>1284.7</v>
      </c>
      <c r="D13" s="1" t="e">
        <f ca="1">_xludf.XLOOKUP(B13,Restaurants!$A$2:$A$16,Restaurants!$B$2:$B$16,"Not Listed")</f>
        <v>#NAME?</v>
      </c>
      <c r="E13" s="1" t="str">
        <f>IFERROR(INDEX(Restaurants!$C$2:$C$16,MATCH(B13,Restaurants!$A$2:$A$16,0)),"Not Listed")</f>
        <v>Central</v>
      </c>
      <c r="F13" s="1"/>
      <c r="G13" s="1"/>
      <c r="H13" s="1"/>
    </row>
    <row r="14" spans="1:8" x14ac:dyDescent="0.3">
      <c r="A14" s="1" t="s">
        <v>199</v>
      </c>
      <c r="B14" s="1" t="s">
        <v>179</v>
      </c>
      <c r="C14" s="1">
        <v>1029.8699999999999</v>
      </c>
      <c r="D14" s="1" t="e">
        <f ca="1">_xludf.XLOOKUP(B14,Restaurants!$A$2:$A$16,Restaurants!$B$2:$B$16,"Not Listed")</f>
        <v>#NAME?</v>
      </c>
      <c r="E14" s="1" t="str">
        <f>IFERROR(INDEX(Restaurants!$C$2:$C$16,MATCH(B14,Restaurants!$A$2:$A$16,0)),"Not Listed")</f>
        <v>West</v>
      </c>
      <c r="F14" s="1"/>
      <c r="G14" s="1"/>
      <c r="H14" s="1"/>
    </row>
    <row r="15" spans="1:8" x14ac:dyDescent="0.3">
      <c r="A15" s="1" t="s">
        <v>200</v>
      </c>
      <c r="B15" s="1" t="s">
        <v>173</v>
      </c>
      <c r="C15" s="1">
        <v>1011.51</v>
      </c>
      <c r="D15" s="1" t="e">
        <f ca="1">_xludf.XLOOKUP(B15,Restaurants!$A$2:$A$16,Restaurants!$B$2:$B$16,"Not Listed")</f>
        <v>#NAME?</v>
      </c>
      <c r="E15" s="1" t="str">
        <f>IFERROR(INDEX(Restaurants!$C$2:$C$16,MATCH(B15,Restaurants!$A$2:$A$16,0)),"Not Listed")</f>
        <v>North</v>
      </c>
      <c r="F15" s="1"/>
      <c r="G15" s="1"/>
      <c r="H15" s="1"/>
    </row>
    <row r="16" spans="1:8" x14ac:dyDescent="0.3">
      <c r="A16" s="1" t="s">
        <v>201</v>
      </c>
      <c r="B16" s="1" t="s">
        <v>160</v>
      </c>
      <c r="C16" s="1">
        <v>416.19</v>
      </c>
      <c r="D16" s="1" t="e">
        <f ca="1">_xludf.XLOOKUP(B16,Restaurants!$A$2:$A$16,Restaurants!$B$2:$B$16,"Not Listed")</f>
        <v>#NAME?</v>
      </c>
      <c r="E16" s="1" t="str">
        <f>IFERROR(INDEX(Restaurants!$C$2:$C$16,MATCH(B16,Restaurants!$A$2:$A$16,0)),"Not Listed")</f>
        <v>Central</v>
      </c>
      <c r="F16" s="1"/>
      <c r="G16" s="1"/>
      <c r="H16" s="1"/>
    </row>
    <row r="17" spans="1:8" x14ac:dyDescent="0.3">
      <c r="A17" s="1" t="s">
        <v>202</v>
      </c>
      <c r="B17" s="1" t="s">
        <v>181</v>
      </c>
      <c r="C17" s="1">
        <v>631.48</v>
      </c>
      <c r="D17" s="1" t="e">
        <f ca="1">_xludf.XLOOKUP(B17,Restaurants!$A$2:$A$16,Restaurants!$B$2:$B$16,"Not Listed")</f>
        <v>#NAME?</v>
      </c>
      <c r="E17" s="1" t="str">
        <f>IFERROR(INDEX(Restaurants!$C$2:$C$16,MATCH(B17,Restaurants!$A$2:$A$16,0)),"Not Listed")</f>
        <v>Central</v>
      </c>
      <c r="F17" s="1"/>
      <c r="G17" s="1"/>
      <c r="H17" s="1"/>
    </row>
    <row r="18" spans="1:8" x14ac:dyDescent="0.3">
      <c r="A18" s="1" t="s">
        <v>203</v>
      </c>
      <c r="B18" s="1" t="s">
        <v>173</v>
      </c>
      <c r="C18" s="1">
        <v>1434.72</v>
      </c>
      <c r="D18" s="1" t="e">
        <f ca="1">_xludf.XLOOKUP(B18,Restaurants!$A$2:$A$16,Restaurants!$B$2:$B$16,"Not Listed")</f>
        <v>#NAME?</v>
      </c>
      <c r="E18" s="1" t="str">
        <f>IFERROR(INDEX(Restaurants!$C$2:$C$16,MATCH(B18,Restaurants!$A$2:$A$16,0)),"Not Listed")</f>
        <v>North</v>
      </c>
      <c r="F18" s="1"/>
      <c r="G18" s="1"/>
      <c r="H18" s="1"/>
    </row>
    <row r="19" spans="1:8" x14ac:dyDescent="0.3">
      <c r="A19" s="1" t="s">
        <v>204</v>
      </c>
      <c r="B19" s="1" t="s">
        <v>169</v>
      </c>
      <c r="C19" s="1">
        <v>767.95</v>
      </c>
      <c r="D19" s="1" t="e">
        <f ca="1">_xludf.XLOOKUP(B19,Restaurants!$A$2:$A$16,Restaurants!$B$2:$B$16,"Not Listed")</f>
        <v>#NAME?</v>
      </c>
      <c r="E19" s="1" t="str">
        <f>IFERROR(INDEX(Restaurants!$C$2:$C$16,MATCH(B19,Restaurants!$A$2:$A$16,0)),"Not Listed")</f>
        <v>West</v>
      </c>
      <c r="F19" s="1"/>
      <c r="G19" s="1"/>
      <c r="H19" s="1"/>
    </row>
    <row r="20" spans="1:8" x14ac:dyDescent="0.3">
      <c r="A20" s="1" t="s">
        <v>205</v>
      </c>
      <c r="B20" s="1" t="s">
        <v>169</v>
      </c>
      <c r="C20" s="1">
        <v>1449.68</v>
      </c>
      <c r="D20" s="1" t="e">
        <f ca="1">_xludf.XLOOKUP(B20,Restaurants!$A$2:$A$16,Restaurants!$B$2:$B$16,"Not Listed")</f>
        <v>#NAME?</v>
      </c>
      <c r="E20" s="1" t="str">
        <f>IFERROR(INDEX(Restaurants!$C$2:$C$16,MATCH(B20,Restaurants!$A$2:$A$16,0)),"Not Listed")</f>
        <v>West</v>
      </c>
      <c r="F20" s="1"/>
      <c r="G20" s="1"/>
      <c r="H20" s="1"/>
    </row>
    <row r="21" spans="1:8" x14ac:dyDescent="0.3">
      <c r="A21" s="1" t="s">
        <v>206</v>
      </c>
      <c r="B21" s="1" t="s">
        <v>175</v>
      </c>
      <c r="C21" s="1">
        <v>475.59</v>
      </c>
      <c r="D21" s="1" t="e">
        <f ca="1">_xludf.XLOOKUP(B21,Restaurants!$A$2:$A$16,Restaurants!$B$2:$B$16,"Not Listed")</f>
        <v>#NAME?</v>
      </c>
      <c r="E21" s="1" t="str">
        <f>IFERROR(INDEX(Restaurants!$C$2:$C$16,MATCH(B21,Restaurants!$A$2:$A$16,0)),"Not Listed")</f>
        <v>South</v>
      </c>
      <c r="F21" s="1"/>
      <c r="G21" s="1"/>
      <c r="H21" s="1"/>
    </row>
    <row r="22" spans="1:8" x14ac:dyDescent="0.3">
      <c r="A22" s="1" t="s">
        <v>207</v>
      </c>
      <c r="B22" s="1" t="s">
        <v>179</v>
      </c>
      <c r="C22" s="1">
        <v>1440.39</v>
      </c>
      <c r="D22" s="1" t="e">
        <f ca="1">_xludf.XLOOKUP(B22,Restaurants!$A$2:$A$16,Restaurants!$B$2:$B$16,"Not Listed")</f>
        <v>#NAME?</v>
      </c>
      <c r="E22" s="1" t="str">
        <f>IFERROR(INDEX(Restaurants!$C$2:$C$16,MATCH(B22,Restaurants!$A$2:$A$16,0)),"Not Listed")</f>
        <v>West</v>
      </c>
      <c r="F22" s="1"/>
      <c r="G22" s="1"/>
      <c r="H22" s="1"/>
    </row>
    <row r="23" spans="1:8" x14ac:dyDescent="0.3">
      <c r="A23" s="1" t="s">
        <v>208</v>
      </c>
      <c r="B23" s="1" t="s">
        <v>149</v>
      </c>
      <c r="C23" s="1">
        <v>214.97</v>
      </c>
      <c r="D23" s="1" t="e">
        <f ca="1">_xludf.XLOOKUP(B23,Restaurants!$A$2:$A$16,Restaurants!$B$2:$B$16,"Not Listed")</f>
        <v>#NAME?</v>
      </c>
      <c r="E23" s="1" t="str">
        <f>IFERROR(INDEX(Restaurants!$C$2:$C$16,MATCH(B23,Restaurants!$A$2:$A$16,0)),"Not Listed")</f>
        <v>South</v>
      </c>
      <c r="F23" s="1"/>
      <c r="G23" s="1"/>
      <c r="H23" s="1"/>
    </row>
    <row r="24" spans="1:8" x14ac:dyDescent="0.3">
      <c r="A24" s="1" t="s">
        <v>209</v>
      </c>
      <c r="B24" s="1" t="s">
        <v>149</v>
      </c>
      <c r="C24" s="1">
        <v>1060.67</v>
      </c>
      <c r="D24" s="1" t="e">
        <f ca="1">_xludf.XLOOKUP(B24,Restaurants!$A$2:$A$16,Restaurants!$B$2:$B$16,"Not Listed")</f>
        <v>#NAME?</v>
      </c>
      <c r="E24" s="1" t="str">
        <f>IFERROR(INDEX(Restaurants!$C$2:$C$16,MATCH(B24,Restaurants!$A$2:$A$16,0)),"Not Listed")</f>
        <v>South</v>
      </c>
      <c r="F24" s="1"/>
      <c r="G24" s="1"/>
      <c r="H24" s="1"/>
    </row>
    <row r="25" spans="1:8" x14ac:dyDescent="0.3">
      <c r="A25" s="1" t="s">
        <v>210</v>
      </c>
      <c r="B25" s="1" t="s">
        <v>167</v>
      </c>
      <c r="C25" s="1">
        <v>826.19</v>
      </c>
      <c r="D25" s="1" t="e">
        <f ca="1">_xludf.XLOOKUP(B25,Restaurants!$A$2:$A$16,Restaurants!$B$2:$B$16,"Not Listed")</f>
        <v>#NAME?</v>
      </c>
      <c r="E25" s="1" t="str">
        <f>IFERROR(INDEX(Restaurants!$C$2:$C$16,MATCH(B25,Restaurants!$A$2:$A$16,0)),"Not Listed")</f>
        <v>East</v>
      </c>
      <c r="F25" s="1"/>
      <c r="G25" s="1"/>
      <c r="H25" s="1"/>
    </row>
    <row r="26" spans="1:8" x14ac:dyDescent="0.3">
      <c r="A26" s="1" t="s">
        <v>211</v>
      </c>
      <c r="B26" s="1" t="s">
        <v>171</v>
      </c>
      <c r="C26" s="1">
        <v>1788.69</v>
      </c>
      <c r="D26" s="1" t="e">
        <f ca="1">_xludf.XLOOKUP(B26,Restaurants!$A$2:$A$16,Restaurants!$B$2:$B$16,"Not Listed")</f>
        <v>#NAME?</v>
      </c>
      <c r="E26" s="1" t="str">
        <f>IFERROR(INDEX(Restaurants!$C$2:$C$16,MATCH(B26,Restaurants!$A$2:$A$16,0)),"Not Listed")</f>
        <v>Central</v>
      </c>
      <c r="F26" s="1"/>
      <c r="G26" s="1"/>
      <c r="H26" s="1"/>
    </row>
    <row r="27" spans="1:8" x14ac:dyDescent="0.3">
      <c r="A27" s="1" t="s">
        <v>212</v>
      </c>
      <c r="B27" s="1" t="s">
        <v>153</v>
      </c>
      <c r="C27" s="1">
        <v>1265.1199999999999</v>
      </c>
      <c r="D27" s="1" t="e">
        <f ca="1">_xludf.XLOOKUP(B27,Restaurants!$A$2:$A$16,Restaurants!$B$2:$B$16,"Not Listed")</f>
        <v>#NAME?</v>
      </c>
      <c r="E27" s="1" t="str">
        <f>IFERROR(INDEX(Restaurants!$C$2:$C$16,MATCH(B27,Restaurants!$A$2:$A$16,0)),"Not Listed")</f>
        <v>East</v>
      </c>
      <c r="F27" s="1"/>
      <c r="G27" s="1"/>
      <c r="H27" s="1"/>
    </row>
    <row r="28" spans="1:8" x14ac:dyDescent="0.3">
      <c r="A28" s="1" t="s">
        <v>213</v>
      </c>
      <c r="B28" s="1" t="s">
        <v>160</v>
      </c>
      <c r="C28" s="1">
        <v>709.6</v>
      </c>
      <c r="D28" s="1" t="e">
        <f ca="1">_xludf.XLOOKUP(B28,Restaurants!$A$2:$A$16,Restaurants!$B$2:$B$16,"Not Listed")</f>
        <v>#NAME?</v>
      </c>
      <c r="E28" s="1" t="str">
        <f>IFERROR(INDEX(Restaurants!$C$2:$C$16,MATCH(B28,Restaurants!$A$2:$A$16,0)),"Not Listed")</f>
        <v>Central</v>
      </c>
      <c r="F28" s="1"/>
      <c r="G28" s="1"/>
      <c r="H28" s="1"/>
    </row>
    <row r="29" spans="1:8" x14ac:dyDescent="0.3">
      <c r="A29" s="1" t="s">
        <v>214</v>
      </c>
      <c r="B29" s="1" t="s">
        <v>173</v>
      </c>
      <c r="C29" s="1">
        <v>762.41</v>
      </c>
      <c r="D29" s="1" t="e">
        <f ca="1">_xludf.XLOOKUP(B29,Restaurants!$A$2:$A$16,Restaurants!$B$2:$B$16,"Not Listed")</f>
        <v>#NAME?</v>
      </c>
      <c r="E29" s="1" t="str">
        <f>IFERROR(INDEX(Restaurants!$C$2:$C$16,MATCH(B29,Restaurants!$A$2:$A$16,0)),"Not Listed")</f>
        <v>North</v>
      </c>
      <c r="F29" s="1"/>
      <c r="G29" s="1"/>
      <c r="H29" s="1"/>
    </row>
    <row r="30" spans="1:8" x14ac:dyDescent="0.3">
      <c r="A30" s="1" t="s">
        <v>215</v>
      </c>
      <c r="B30" s="1" t="s">
        <v>149</v>
      </c>
      <c r="C30" s="1">
        <v>925.87</v>
      </c>
      <c r="D30" s="1" t="e">
        <f ca="1">_xludf.XLOOKUP(B30,Restaurants!$A$2:$A$16,Restaurants!$B$2:$B$16,"Not Listed")</f>
        <v>#NAME?</v>
      </c>
      <c r="E30" s="1" t="str">
        <f>IFERROR(INDEX(Restaurants!$C$2:$C$16,MATCH(B30,Restaurants!$A$2:$A$16,0)),"Not Listed")</f>
        <v>South</v>
      </c>
      <c r="F30" s="1"/>
      <c r="G30" s="1"/>
      <c r="H30" s="1"/>
    </row>
    <row r="31" spans="1:8" x14ac:dyDescent="0.3">
      <c r="A31" s="1" t="s">
        <v>216</v>
      </c>
      <c r="B31" s="1" t="s">
        <v>167</v>
      </c>
      <c r="C31" s="1">
        <v>1508.05</v>
      </c>
      <c r="D31" s="1" t="e">
        <f ca="1">_xludf.XLOOKUP(B31,Restaurants!$A$2:$A$16,Restaurants!$B$2:$B$16,"Not Listed")</f>
        <v>#NAME?</v>
      </c>
      <c r="E31" s="1" t="str">
        <f>IFERROR(INDEX(Restaurants!$C$2:$C$16,MATCH(B31,Restaurants!$A$2:$A$16,0)),"Not Listed")</f>
        <v>East</v>
      </c>
      <c r="F31" s="1"/>
      <c r="G31" s="1"/>
      <c r="H31" s="1"/>
    </row>
    <row r="32" spans="1:8" x14ac:dyDescent="0.3">
      <c r="A32" s="1" t="s">
        <v>217</v>
      </c>
      <c r="B32" s="1" t="s">
        <v>179</v>
      </c>
      <c r="C32" s="1">
        <v>287.75</v>
      </c>
      <c r="D32" s="1" t="e">
        <f ca="1">_xludf.XLOOKUP(B32,Restaurants!$A$2:$A$16,Restaurants!$B$2:$B$16,"Not Listed")</f>
        <v>#NAME?</v>
      </c>
      <c r="E32" s="1" t="str">
        <f>IFERROR(INDEX(Restaurants!$C$2:$C$16,MATCH(B32,Restaurants!$A$2:$A$16,0)),"Not Listed")</f>
        <v>West</v>
      </c>
      <c r="F32" s="1"/>
      <c r="G32" s="1"/>
      <c r="H32" s="1"/>
    </row>
    <row r="33" spans="1:8" x14ac:dyDescent="0.3">
      <c r="A33" s="1" t="s">
        <v>218</v>
      </c>
      <c r="B33" s="1" t="s">
        <v>171</v>
      </c>
      <c r="C33" s="1">
        <v>827.23</v>
      </c>
      <c r="D33" s="1" t="e">
        <f ca="1">_xludf.XLOOKUP(B33,Restaurants!$A$2:$A$16,Restaurants!$B$2:$B$16,"Not Listed")</f>
        <v>#NAME?</v>
      </c>
      <c r="E33" s="1" t="str">
        <f>IFERROR(INDEX(Restaurants!$C$2:$C$16,MATCH(B33,Restaurants!$A$2:$A$16,0)),"Not Listed")</f>
        <v>Central</v>
      </c>
      <c r="F33" s="1"/>
      <c r="G33" s="1"/>
      <c r="H33" s="1"/>
    </row>
    <row r="34" spans="1:8" x14ac:dyDescent="0.3">
      <c r="A34" s="1" t="s">
        <v>219</v>
      </c>
      <c r="B34" s="1" t="s">
        <v>165</v>
      </c>
      <c r="C34" s="1">
        <v>821.33</v>
      </c>
      <c r="D34" s="1" t="e">
        <f ca="1">_xludf.XLOOKUP(B34,Restaurants!$A$2:$A$16,Restaurants!$B$2:$B$16,"Not Listed")</f>
        <v>#NAME?</v>
      </c>
      <c r="E34" s="1" t="str">
        <f>IFERROR(INDEX(Restaurants!$C$2:$C$16,MATCH(B34,Restaurants!$A$2:$A$16,0)),"Not Listed")</f>
        <v>South</v>
      </c>
      <c r="F34" s="1"/>
      <c r="G34" s="1"/>
      <c r="H34" s="1"/>
    </row>
    <row r="35" spans="1:8" x14ac:dyDescent="0.3">
      <c r="A35" s="1" t="s">
        <v>220</v>
      </c>
      <c r="B35" s="1" t="s">
        <v>149</v>
      </c>
      <c r="C35" s="1">
        <v>238.69</v>
      </c>
      <c r="D35" s="1" t="e">
        <f ca="1">_xludf.XLOOKUP(B35,Restaurants!$A$2:$A$16,Restaurants!$B$2:$B$16,"Not Listed")</f>
        <v>#NAME?</v>
      </c>
      <c r="E35" s="1" t="str">
        <f>IFERROR(INDEX(Restaurants!$C$2:$C$16,MATCH(B35,Restaurants!$A$2:$A$16,0)),"Not Listed")</f>
        <v>South</v>
      </c>
      <c r="F35" s="1"/>
      <c r="G35" s="1"/>
      <c r="H35" s="1"/>
    </row>
    <row r="36" spans="1:8" x14ac:dyDescent="0.3">
      <c r="A36" s="1" t="s">
        <v>221</v>
      </c>
      <c r="B36" s="1" t="s">
        <v>167</v>
      </c>
      <c r="C36" s="1">
        <v>756.41</v>
      </c>
      <c r="D36" s="1" t="e">
        <f ca="1">_xludf.XLOOKUP(B36,Restaurants!$A$2:$A$16,Restaurants!$B$2:$B$16,"Not Listed")</f>
        <v>#NAME?</v>
      </c>
      <c r="E36" s="1" t="str">
        <f>IFERROR(INDEX(Restaurants!$C$2:$C$16,MATCH(B36,Restaurants!$A$2:$A$16,0)),"Not Listed")</f>
        <v>East</v>
      </c>
      <c r="F36" s="1"/>
      <c r="G36" s="1"/>
      <c r="H36" s="1"/>
    </row>
    <row r="37" spans="1:8" x14ac:dyDescent="0.3">
      <c r="A37" s="1" t="s">
        <v>222</v>
      </c>
      <c r="B37" s="1" t="s">
        <v>149</v>
      </c>
      <c r="C37" s="1">
        <v>1516.78</v>
      </c>
      <c r="D37" s="1" t="e">
        <f ca="1">_xludf.XLOOKUP(B37,Restaurants!$A$2:$A$16,Restaurants!$B$2:$B$16,"Not Listed")</f>
        <v>#NAME?</v>
      </c>
      <c r="E37" s="1" t="str">
        <f>IFERROR(INDEX(Restaurants!$C$2:$C$16,MATCH(B37,Restaurants!$A$2:$A$16,0)),"Not Listed")</f>
        <v>South</v>
      </c>
      <c r="F37" s="1"/>
      <c r="G37" s="1"/>
      <c r="H37" s="1"/>
    </row>
    <row r="38" spans="1:8" x14ac:dyDescent="0.3">
      <c r="A38" s="1" t="s">
        <v>223</v>
      </c>
      <c r="B38" s="1" t="s">
        <v>181</v>
      </c>
      <c r="C38" s="1">
        <v>429.3</v>
      </c>
      <c r="D38" s="1" t="e">
        <f ca="1">_xludf.XLOOKUP(B38,Restaurants!$A$2:$A$16,Restaurants!$B$2:$B$16,"Not Listed")</f>
        <v>#NAME?</v>
      </c>
      <c r="E38" s="1" t="str">
        <f>IFERROR(INDEX(Restaurants!$C$2:$C$16,MATCH(B38,Restaurants!$A$2:$A$16,0)),"Not Listed")</f>
        <v>Central</v>
      </c>
      <c r="F38" s="1"/>
      <c r="G38" s="1"/>
      <c r="H38" s="1"/>
    </row>
    <row r="39" spans="1:8" x14ac:dyDescent="0.3">
      <c r="A39" s="1" t="s">
        <v>224</v>
      </c>
      <c r="B39" s="1" t="s">
        <v>175</v>
      </c>
      <c r="C39" s="1">
        <v>1011.13</v>
      </c>
      <c r="D39" s="1" t="e">
        <f ca="1">_xludf.XLOOKUP(B39,Restaurants!$A$2:$A$16,Restaurants!$B$2:$B$16,"Not Listed")</f>
        <v>#NAME?</v>
      </c>
      <c r="E39" s="1" t="str">
        <f>IFERROR(INDEX(Restaurants!$C$2:$C$16,MATCH(B39,Restaurants!$A$2:$A$16,0)),"Not Listed")</f>
        <v>South</v>
      </c>
      <c r="F39" s="1"/>
      <c r="G39" s="1"/>
      <c r="H39" s="1"/>
    </row>
    <row r="40" spans="1:8" x14ac:dyDescent="0.3">
      <c r="A40" s="1" t="s">
        <v>225</v>
      </c>
      <c r="B40" s="1" t="s">
        <v>171</v>
      </c>
      <c r="C40" s="1">
        <v>451.8</v>
      </c>
      <c r="D40" s="1" t="e">
        <f ca="1">_xludf.XLOOKUP(B40,Restaurants!$A$2:$A$16,Restaurants!$B$2:$B$16,"Not Listed")</f>
        <v>#NAME?</v>
      </c>
      <c r="E40" s="1" t="str">
        <f>IFERROR(INDEX(Restaurants!$C$2:$C$16,MATCH(B40,Restaurants!$A$2:$A$16,0)),"Not Listed")</f>
        <v>Central</v>
      </c>
      <c r="F40" s="1"/>
      <c r="G40" s="1"/>
      <c r="H40" s="1"/>
    </row>
    <row r="41" spans="1:8" x14ac:dyDescent="0.3">
      <c r="A41" s="1" t="s">
        <v>226</v>
      </c>
      <c r="B41" s="1" t="s">
        <v>173</v>
      </c>
      <c r="C41" s="1">
        <v>1103.92</v>
      </c>
      <c r="D41" s="1" t="e">
        <f ca="1">_xludf.XLOOKUP(B41,Restaurants!$A$2:$A$16,Restaurants!$B$2:$B$16,"Not Listed")</f>
        <v>#NAME?</v>
      </c>
      <c r="E41" s="1" t="str">
        <f>IFERROR(INDEX(Restaurants!$C$2:$C$16,MATCH(B41,Restaurants!$A$2:$A$16,0)),"Not Listed")</f>
        <v>North</v>
      </c>
      <c r="F41" s="1"/>
      <c r="G41" s="1"/>
      <c r="H41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7" x14ac:dyDescent="0.3">
      <c r="A1" s="2" t="s">
        <v>21</v>
      </c>
      <c r="B1" s="2" t="s">
        <v>24</v>
      </c>
      <c r="C1" s="2" t="s">
        <v>23</v>
      </c>
      <c r="D1" s="2" t="s">
        <v>142</v>
      </c>
      <c r="E1" s="2" t="s">
        <v>27</v>
      </c>
      <c r="F1" s="2" t="s">
        <v>25</v>
      </c>
      <c r="G1" s="2" t="s">
        <v>28</v>
      </c>
    </row>
    <row r="2" spans="1:7" x14ac:dyDescent="0.3">
      <c r="A2" s="1" t="s">
        <v>227</v>
      </c>
      <c r="B2" s="4">
        <v>46174</v>
      </c>
      <c r="C2" s="1" t="s">
        <v>38</v>
      </c>
      <c r="D2" s="1" t="s">
        <v>147</v>
      </c>
      <c r="E2" s="1">
        <v>591.36</v>
      </c>
      <c r="F2" s="1">
        <v>18</v>
      </c>
      <c r="G2" s="1" t="s">
        <v>32</v>
      </c>
    </row>
    <row r="3" spans="1:7" x14ac:dyDescent="0.3">
      <c r="A3" s="1" t="s">
        <v>228</v>
      </c>
      <c r="B3" s="4">
        <v>46182</v>
      </c>
      <c r="C3" s="1" t="s">
        <v>45</v>
      </c>
      <c r="D3" s="1" t="s">
        <v>162</v>
      </c>
      <c r="E3" s="1">
        <v>393.81</v>
      </c>
      <c r="F3" s="1">
        <v>47</v>
      </c>
      <c r="G3" s="1" t="s">
        <v>32</v>
      </c>
    </row>
    <row r="4" spans="1:7" x14ac:dyDescent="0.3">
      <c r="A4" s="1" t="s">
        <v>229</v>
      </c>
      <c r="B4" s="4">
        <v>46258</v>
      </c>
      <c r="C4" s="1" t="s">
        <v>38</v>
      </c>
      <c r="D4" s="1" t="s">
        <v>159</v>
      </c>
      <c r="E4" s="1">
        <v>1024.3</v>
      </c>
      <c r="F4" s="1">
        <v>22</v>
      </c>
      <c r="G4" s="1" t="s">
        <v>32</v>
      </c>
    </row>
    <row r="5" spans="1:7" x14ac:dyDescent="0.3">
      <c r="A5" s="1" t="s">
        <v>230</v>
      </c>
      <c r="B5" s="4">
        <v>46191</v>
      </c>
      <c r="C5" s="1" t="s">
        <v>45</v>
      </c>
      <c r="D5" s="1" t="s">
        <v>147</v>
      </c>
      <c r="E5" s="1">
        <v>1229.33</v>
      </c>
      <c r="F5" s="1">
        <v>25</v>
      </c>
      <c r="G5" s="1" t="s">
        <v>32</v>
      </c>
    </row>
    <row r="6" spans="1:7" x14ac:dyDescent="0.3">
      <c r="A6" s="1" t="s">
        <v>231</v>
      </c>
      <c r="B6" s="4">
        <v>46205</v>
      </c>
      <c r="C6" s="1" t="s">
        <v>35</v>
      </c>
      <c r="D6" s="1" t="s">
        <v>151</v>
      </c>
      <c r="E6" s="1">
        <v>920.72</v>
      </c>
      <c r="F6" s="1">
        <v>55</v>
      </c>
      <c r="G6" s="1" t="s">
        <v>32</v>
      </c>
    </row>
    <row r="7" spans="1:7" x14ac:dyDescent="0.3">
      <c r="A7" s="1" t="s">
        <v>232</v>
      </c>
      <c r="B7" s="4">
        <v>46194</v>
      </c>
      <c r="C7" s="1" t="s">
        <v>31</v>
      </c>
      <c r="D7" s="1" t="s">
        <v>151</v>
      </c>
      <c r="E7" s="1">
        <v>886.44</v>
      </c>
      <c r="F7" s="1">
        <v>19</v>
      </c>
      <c r="G7" s="1" t="s">
        <v>32</v>
      </c>
    </row>
    <row r="8" spans="1:7" x14ac:dyDescent="0.3">
      <c r="A8" s="1" t="s">
        <v>233</v>
      </c>
      <c r="B8" s="4">
        <v>46222</v>
      </c>
      <c r="C8" s="1" t="s">
        <v>35</v>
      </c>
      <c r="D8" s="1" t="s">
        <v>162</v>
      </c>
      <c r="E8" s="1">
        <v>483.95</v>
      </c>
      <c r="F8" s="1">
        <v>27</v>
      </c>
      <c r="G8" s="1" t="s">
        <v>32</v>
      </c>
    </row>
    <row r="9" spans="1:7" x14ac:dyDescent="0.3">
      <c r="A9" s="1" t="s">
        <v>234</v>
      </c>
      <c r="B9" s="4">
        <v>46265</v>
      </c>
      <c r="C9" s="1" t="s">
        <v>35</v>
      </c>
      <c r="D9" s="1" t="s">
        <v>155</v>
      </c>
      <c r="E9" s="1">
        <v>1392.7</v>
      </c>
      <c r="F9" s="1">
        <v>42</v>
      </c>
      <c r="G9" s="1" t="s">
        <v>32</v>
      </c>
    </row>
    <row r="10" spans="1:7" x14ac:dyDescent="0.3">
      <c r="A10" s="1" t="s">
        <v>235</v>
      </c>
      <c r="B10" s="4">
        <v>46236</v>
      </c>
      <c r="C10" s="1" t="s">
        <v>45</v>
      </c>
      <c r="D10" s="1" t="s">
        <v>155</v>
      </c>
      <c r="E10" s="1">
        <v>1799.1</v>
      </c>
      <c r="F10" s="1">
        <v>42</v>
      </c>
      <c r="G10" s="1" t="s">
        <v>32</v>
      </c>
    </row>
    <row r="11" spans="1:7" x14ac:dyDescent="0.3">
      <c r="A11" s="1" t="s">
        <v>236</v>
      </c>
      <c r="B11" s="4">
        <v>46209</v>
      </c>
      <c r="C11" s="1" t="s">
        <v>45</v>
      </c>
      <c r="D11" s="1" t="s">
        <v>162</v>
      </c>
      <c r="E11" s="1">
        <v>405.49</v>
      </c>
      <c r="F11" s="1">
        <v>41</v>
      </c>
      <c r="G11" s="1" t="s">
        <v>32</v>
      </c>
    </row>
    <row r="12" spans="1:7" x14ac:dyDescent="0.3">
      <c r="A12" s="1" t="s">
        <v>237</v>
      </c>
      <c r="B12" s="4">
        <v>46180</v>
      </c>
      <c r="C12" s="1" t="s">
        <v>45</v>
      </c>
      <c r="D12" s="1" t="s">
        <v>147</v>
      </c>
      <c r="E12" s="1">
        <v>1398.34</v>
      </c>
      <c r="F12" s="1">
        <v>40</v>
      </c>
      <c r="G12" s="1" t="s">
        <v>32</v>
      </c>
    </row>
    <row r="13" spans="1:7" x14ac:dyDescent="0.3">
      <c r="A13" s="1" t="s">
        <v>238</v>
      </c>
      <c r="B13" s="4">
        <v>46256</v>
      </c>
      <c r="C13" s="1" t="s">
        <v>35</v>
      </c>
      <c r="D13" s="1" t="s">
        <v>147</v>
      </c>
      <c r="E13" s="1">
        <v>469.43</v>
      </c>
      <c r="F13" s="1">
        <v>62</v>
      </c>
      <c r="G13" s="1" t="s">
        <v>90</v>
      </c>
    </row>
    <row r="14" spans="1:7" x14ac:dyDescent="0.3">
      <c r="A14" s="1" t="s">
        <v>239</v>
      </c>
      <c r="B14" s="4">
        <v>46208</v>
      </c>
      <c r="C14" s="1" t="s">
        <v>31</v>
      </c>
      <c r="D14" s="1" t="s">
        <v>159</v>
      </c>
      <c r="E14" s="1">
        <v>1150.9000000000001</v>
      </c>
      <c r="F14" s="1">
        <v>33</v>
      </c>
      <c r="G14" s="1" t="s">
        <v>32</v>
      </c>
    </row>
    <row r="15" spans="1:7" x14ac:dyDescent="0.3">
      <c r="A15" s="1" t="s">
        <v>240</v>
      </c>
      <c r="B15" s="4">
        <v>46248</v>
      </c>
      <c r="C15" s="1" t="s">
        <v>45</v>
      </c>
      <c r="D15" s="1" t="s">
        <v>162</v>
      </c>
      <c r="E15" s="1">
        <v>889.4</v>
      </c>
      <c r="F15" s="1">
        <v>26</v>
      </c>
      <c r="G15" s="1" t="s">
        <v>42</v>
      </c>
    </row>
    <row r="16" spans="1:7" x14ac:dyDescent="0.3">
      <c r="A16" s="1" t="s">
        <v>241</v>
      </c>
      <c r="B16" s="4">
        <v>46206</v>
      </c>
      <c r="C16" s="1" t="s">
        <v>45</v>
      </c>
      <c r="D16" s="1" t="s">
        <v>155</v>
      </c>
      <c r="E16" s="1">
        <v>302.63</v>
      </c>
      <c r="F16" s="1">
        <v>40</v>
      </c>
      <c r="G16" s="1" t="s">
        <v>32</v>
      </c>
    </row>
    <row r="17" spans="1:7" x14ac:dyDescent="0.3">
      <c r="A17" s="1" t="s">
        <v>242</v>
      </c>
      <c r="B17" s="4">
        <v>46231</v>
      </c>
      <c r="C17" s="1" t="s">
        <v>41</v>
      </c>
      <c r="D17" s="1" t="s">
        <v>151</v>
      </c>
      <c r="E17" s="1">
        <v>762.31</v>
      </c>
      <c r="F17" s="1">
        <v>15</v>
      </c>
      <c r="G17" s="1" t="s">
        <v>42</v>
      </c>
    </row>
    <row r="18" spans="1:7" x14ac:dyDescent="0.3">
      <c r="A18" s="1" t="s">
        <v>243</v>
      </c>
      <c r="B18" s="4">
        <v>46227</v>
      </c>
      <c r="C18" s="1" t="s">
        <v>45</v>
      </c>
      <c r="D18" s="1" t="s">
        <v>159</v>
      </c>
      <c r="E18" s="1">
        <v>241.56</v>
      </c>
      <c r="F18" s="1">
        <v>31</v>
      </c>
      <c r="G18" s="1" t="s">
        <v>32</v>
      </c>
    </row>
    <row r="19" spans="1:7" x14ac:dyDescent="0.3">
      <c r="A19" s="1" t="s">
        <v>244</v>
      </c>
      <c r="B19" s="4">
        <v>46255</v>
      </c>
      <c r="C19" s="1" t="s">
        <v>45</v>
      </c>
      <c r="D19" s="1" t="s">
        <v>159</v>
      </c>
      <c r="E19" s="1">
        <v>211.9</v>
      </c>
      <c r="F19" s="1">
        <v>41</v>
      </c>
      <c r="G19" s="1" t="s">
        <v>32</v>
      </c>
    </row>
    <row r="20" spans="1:7" x14ac:dyDescent="0.3">
      <c r="A20" s="1" t="s">
        <v>245</v>
      </c>
      <c r="B20" s="4">
        <v>46209</v>
      </c>
      <c r="C20" s="1" t="s">
        <v>35</v>
      </c>
      <c r="D20" s="1" t="s">
        <v>155</v>
      </c>
      <c r="E20" s="1">
        <v>196</v>
      </c>
      <c r="F20" s="1">
        <v>19</v>
      </c>
      <c r="G20" s="1" t="s">
        <v>32</v>
      </c>
    </row>
    <row r="21" spans="1:7" x14ac:dyDescent="0.3">
      <c r="A21" s="1" t="s">
        <v>246</v>
      </c>
      <c r="B21" s="4">
        <v>46255</v>
      </c>
      <c r="C21" s="1" t="s">
        <v>41</v>
      </c>
      <c r="D21" s="1" t="s">
        <v>151</v>
      </c>
      <c r="E21" s="1">
        <v>630.58000000000004</v>
      </c>
      <c r="F21" s="1">
        <v>36</v>
      </c>
      <c r="G21" s="1" t="s">
        <v>32</v>
      </c>
    </row>
    <row r="22" spans="1:7" x14ac:dyDescent="0.3">
      <c r="A22" s="1" t="s">
        <v>247</v>
      </c>
      <c r="B22" s="4">
        <v>46203</v>
      </c>
      <c r="C22" s="1" t="s">
        <v>38</v>
      </c>
      <c r="D22" s="1" t="s">
        <v>159</v>
      </c>
      <c r="E22" s="1">
        <v>785.35</v>
      </c>
      <c r="F22" s="1">
        <v>48</v>
      </c>
      <c r="G22" s="1" t="s">
        <v>32</v>
      </c>
    </row>
    <row r="23" spans="1:7" x14ac:dyDescent="0.3">
      <c r="A23" s="1" t="s">
        <v>248</v>
      </c>
      <c r="B23" s="4">
        <v>46236</v>
      </c>
      <c r="C23" s="1" t="s">
        <v>31</v>
      </c>
      <c r="D23" s="1" t="s">
        <v>162</v>
      </c>
      <c r="E23" s="1">
        <v>563.64</v>
      </c>
      <c r="F23" s="1">
        <v>36</v>
      </c>
      <c r="G23" s="1" t="s">
        <v>32</v>
      </c>
    </row>
    <row r="24" spans="1:7" x14ac:dyDescent="0.3">
      <c r="A24" s="1" t="s">
        <v>249</v>
      </c>
      <c r="B24" s="4">
        <v>46189</v>
      </c>
      <c r="C24" s="1" t="s">
        <v>35</v>
      </c>
      <c r="D24" s="1" t="s">
        <v>147</v>
      </c>
      <c r="E24" s="1">
        <v>1341.38</v>
      </c>
      <c r="F24" s="1">
        <v>40</v>
      </c>
      <c r="G24" s="1" t="s">
        <v>32</v>
      </c>
    </row>
    <row r="25" spans="1:7" x14ac:dyDescent="0.3">
      <c r="A25" s="1" t="s">
        <v>250</v>
      </c>
      <c r="B25" s="4">
        <v>46235</v>
      </c>
      <c r="C25" s="1" t="s">
        <v>35</v>
      </c>
      <c r="D25" s="1" t="s">
        <v>159</v>
      </c>
      <c r="E25" s="1">
        <v>1658.76</v>
      </c>
      <c r="F25" s="1">
        <v>38</v>
      </c>
      <c r="G25" s="1" t="s">
        <v>32</v>
      </c>
    </row>
    <row r="26" spans="1:7" x14ac:dyDescent="0.3">
      <c r="A26" s="1" t="s">
        <v>251</v>
      </c>
      <c r="B26" s="4">
        <v>46216</v>
      </c>
      <c r="C26" s="1" t="s">
        <v>41</v>
      </c>
      <c r="D26" s="1" t="s">
        <v>147</v>
      </c>
      <c r="E26" s="1">
        <v>807.02</v>
      </c>
      <c r="F26" s="1">
        <v>34</v>
      </c>
      <c r="G26" s="1" t="s">
        <v>32</v>
      </c>
    </row>
    <row r="27" spans="1:7" x14ac:dyDescent="0.3">
      <c r="A27" s="1" t="s">
        <v>252</v>
      </c>
      <c r="B27" s="4">
        <v>46219</v>
      </c>
      <c r="C27" s="1" t="s">
        <v>35</v>
      </c>
      <c r="D27" s="1" t="s">
        <v>151</v>
      </c>
      <c r="E27" s="1">
        <v>385.53</v>
      </c>
      <c r="F27" s="1">
        <v>43</v>
      </c>
      <c r="G27" s="1" t="s">
        <v>32</v>
      </c>
    </row>
    <row r="28" spans="1:7" x14ac:dyDescent="0.3">
      <c r="A28" s="1" t="s">
        <v>253</v>
      </c>
      <c r="B28" s="4">
        <v>46197</v>
      </c>
      <c r="C28" s="1" t="s">
        <v>45</v>
      </c>
      <c r="D28" s="1" t="s">
        <v>151</v>
      </c>
      <c r="E28" s="1">
        <v>390.74</v>
      </c>
      <c r="F28" s="1">
        <v>40</v>
      </c>
      <c r="G28" s="1" t="s">
        <v>32</v>
      </c>
    </row>
    <row r="29" spans="1:7" x14ac:dyDescent="0.3">
      <c r="A29" s="1" t="s">
        <v>254</v>
      </c>
      <c r="B29" s="4">
        <v>46190</v>
      </c>
      <c r="C29" s="1" t="s">
        <v>45</v>
      </c>
      <c r="D29" s="1" t="s">
        <v>159</v>
      </c>
      <c r="E29" s="1">
        <v>1584.09</v>
      </c>
      <c r="F29" s="1">
        <v>36</v>
      </c>
      <c r="G29" s="1" t="s">
        <v>32</v>
      </c>
    </row>
    <row r="30" spans="1:7" x14ac:dyDescent="0.3">
      <c r="A30" s="1" t="s">
        <v>255</v>
      </c>
      <c r="B30" s="4">
        <v>46216</v>
      </c>
      <c r="C30" s="1" t="s">
        <v>41</v>
      </c>
      <c r="D30" s="1" t="s">
        <v>159</v>
      </c>
      <c r="E30" s="1">
        <v>1006.3</v>
      </c>
      <c r="F30" s="1">
        <v>23</v>
      </c>
      <c r="G30" s="1" t="s">
        <v>32</v>
      </c>
    </row>
    <row r="31" spans="1:7" x14ac:dyDescent="0.3">
      <c r="A31" s="1" t="s">
        <v>256</v>
      </c>
      <c r="B31" s="4">
        <v>46174</v>
      </c>
      <c r="C31" s="1" t="s">
        <v>38</v>
      </c>
      <c r="D31" s="1" t="s">
        <v>151</v>
      </c>
      <c r="E31" s="1">
        <v>1564.32</v>
      </c>
      <c r="F31" s="1">
        <v>38</v>
      </c>
      <c r="G31" s="1" t="s">
        <v>42</v>
      </c>
    </row>
    <row r="32" spans="1:7" x14ac:dyDescent="0.3">
      <c r="A32" s="1" t="s">
        <v>257</v>
      </c>
      <c r="B32" s="4">
        <v>46202</v>
      </c>
      <c r="C32" s="1" t="s">
        <v>41</v>
      </c>
      <c r="D32" s="1" t="s">
        <v>151</v>
      </c>
      <c r="E32" s="1">
        <v>1322.5</v>
      </c>
      <c r="F32" s="1">
        <v>36</v>
      </c>
      <c r="G32" s="1" t="s">
        <v>42</v>
      </c>
    </row>
    <row r="33" spans="1:7" x14ac:dyDescent="0.3">
      <c r="A33" s="1" t="s">
        <v>258</v>
      </c>
      <c r="B33" s="4">
        <v>46205</v>
      </c>
      <c r="C33" s="1" t="s">
        <v>41</v>
      </c>
      <c r="D33" s="1" t="s">
        <v>155</v>
      </c>
      <c r="E33" s="1">
        <v>715.71</v>
      </c>
      <c r="F33" s="1">
        <v>18</v>
      </c>
      <c r="G33" s="1" t="s">
        <v>32</v>
      </c>
    </row>
    <row r="34" spans="1:7" x14ac:dyDescent="0.3">
      <c r="A34" s="1" t="s">
        <v>259</v>
      </c>
      <c r="B34" s="4">
        <v>46256</v>
      </c>
      <c r="C34" s="1" t="s">
        <v>35</v>
      </c>
      <c r="D34" s="1" t="s">
        <v>151</v>
      </c>
      <c r="E34" s="1">
        <v>389.01</v>
      </c>
      <c r="F34" s="1">
        <v>8</v>
      </c>
      <c r="G34" s="1" t="s">
        <v>32</v>
      </c>
    </row>
    <row r="35" spans="1:7" x14ac:dyDescent="0.3">
      <c r="A35" s="1" t="s">
        <v>260</v>
      </c>
      <c r="B35" s="4">
        <v>46189</v>
      </c>
      <c r="C35" s="1" t="s">
        <v>35</v>
      </c>
      <c r="D35" s="1" t="s">
        <v>162</v>
      </c>
      <c r="E35" s="1">
        <v>257.70999999999998</v>
      </c>
      <c r="F35" s="1">
        <v>39</v>
      </c>
      <c r="G35" s="1" t="s">
        <v>32</v>
      </c>
    </row>
    <row r="36" spans="1:7" x14ac:dyDescent="0.3">
      <c r="A36" s="1" t="s">
        <v>261</v>
      </c>
      <c r="B36" s="4">
        <v>46200</v>
      </c>
      <c r="C36" s="1" t="s">
        <v>45</v>
      </c>
      <c r="D36" s="1" t="s">
        <v>159</v>
      </c>
      <c r="E36" s="1">
        <v>1758.65</v>
      </c>
      <c r="F36" s="1">
        <v>18</v>
      </c>
      <c r="G36" s="1" t="s">
        <v>32</v>
      </c>
    </row>
    <row r="37" spans="1:7" x14ac:dyDescent="0.3">
      <c r="A37" s="1" t="s">
        <v>262</v>
      </c>
      <c r="B37" s="4">
        <v>46200</v>
      </c>
      <c r="C37" s="1" t="s">
        <v>35</v>
      </c>
      <c r="D37" s="1" t="s">
        <v>147</v>
      </c>
      <c r="E37" s="1">
        <v>626.86</v>
      </c>
      <c r="F37" s="1">
        <v>41</v>
      </c>
      <c r="G37" s="1" t="s">
        <v>32</v>
      </c>
    </row>
    <row r="38" spans="1:7" x14ac:dyDescent="0.3">
      <c r="A38" s="1" t="s">
        <v>263</v>
      </c>
      <c r="B38" s="4">
        <v>46226</v>
      </c>
      <c r="C38" s="1" t="s">
        <v>38</v>
      </c>
      <c r="D38" s="1" t="s">
        <v>151</v>
      </c>
      <c r="E38" s="1">
        <v>817.88</v>
      </c>
      <c r="F38" s="1">
        <v>28</v>
      </c>
      <c r="G38" s="1" t="s">
        <v>32</v>
      </c>
    </row>
    <row r="39" spans="1:7" x14ac:dyDescent="0.3">
      <c r="A39" s="1" t="s">
        <v>264</v>
      </c>
      <c r="B39" s="4">
        <v>46229</v>
      </c>
      <c r="C39" s="1" t="s">
        <v>31</v>
      </c>
      <c r="D39" s="1" t="s">
        <v>151</v>
      </c>
      <c r="E39" s="1">
        <v>1215.8800000000001</v>
      </c>
      <c r="F39" s="1">
        <v>68</v>
      </c>
      <c r="G39" s="1" t="s">
        <v>90</v>
      </c>
    </row>
    <row r="40" spans="1:7" x14ac:dyDescent="0.3">
      <c r="A40" s="1" t="s">
        <v>265</v>
      </c>
      <c r="B40" s="4">
        <v>46237</v>
      </c>
      <c r="C40" s="1" t="s">
        <v>35</v>
      </c>
      <c r="D40" s="1" t="s">
        <v>162</v>
      </c>
      <c r="E40" s="1">
        <v>1582.61</v>
      </c>
      <c r="F40" s="1">
        <v>23</v>
      </c>
      <c r="G40" s="1" t="s">
        <v>32</v>
      </c>
    </row>
    <row r="41" spans="1:7" x14ac:dyDescent="0.3">
      <c r="A41" s="1" t="s">
        <v>266</v>
      </c>
      <c r="B41" s="4">
        <v>46232</v>
      </c>
      <c r="C41" s="1" t="s">
        <v>35</v>
      </c>
      <c r="D41" s="1" t="s">
        <v>155</v>
      </c>
      <c r="E41" s="1">
        <v>1392.18</v>
      </c>
      <c r="F41" s="1">
        <v>46</v>
      </c>
      <c r="G41" s="1" t="s">
        <v>32</v>
      </c>
    </row>
    <row r="42" spans="1:7" x14ac:dyDescent="0.3">
      <c r="A42" s="1" t="s">
        <v>267</v>
      </c>
      <c r="B42" s="4">
        <v>46208</v>
      </c>
      <c r="C42" s="1" t="s">
        <v>35</v>
      </c>
      <c r="D42" s="1" t="s">
        <v>155</v>
      </c>
      <c r="E42" s="1">
        <v>313.56</v>
      </c>
      <c r="F42" s="1">
        <v>13</v>
      </c>
      <c r="G42" s="1" t="s">
        <v>32</v>
      </c>
    </row>
    <row r="43" spans="1:7" x14ac:dyDescent="0.3">
      <c r="A43" s="1" t="s">
        <v>268</v>
      </c>
      <c r="B43" s="4">
        <v>46222</v>
      </c>
      <c r="C43" s="1" t="s">
        <v>31</v>
      </c>
      <c r="D43" s="1" t="s">
        <v>162</v>
      </c>
      <c r="E43" s="1">
        <v>442.97</v>
      </c>
      <c r="F43" s="1">
        <v>46</v>
      </c>
      <c r="G43" s="1" t="s">
        <v>42</v>
      </c>
    </row>
    <row r="44" spans="1:7" x14ac:dyDescent="0.3">
      <c r="A44" s="1" t="s">
        <v>269</v>
      </c>
      <c r="B44" s="4">
        <v>46183</v>
      </c>
      <c r="C44" s="1" t="s">
        <v>35</v>
      </c>
      <c r="D44" s="1" t="s">
        <v>159</v>
      </c>
      <c r="E44" s="1">
        <v>1767.69</v>
      </c>
      <c r="F44" s="1">
        <v>62</v>
      </c>
      <c r="G44" s="1" t="s">
        <v>90</v>
      </c>
    </row>
    <row r="45" spans="1:7" x14ac:dyDescent="0.3">
      <c r="A45" s="1" t="s">
        <v>270</v>
      </c>
      <c r="B45" s="4">
        <v>46179</v>
      </c>
      <c r="C45" s="1" t="s">
        <v>38</v>
      </c>
      <c r="D45" s="1" t="s">
        <v>147</v>
      </c>
      <c r="E45" s="1">
        <v>1703.38</v>
      </c>
      <c r="F45" s="1">
        <v>51</v>
      </c>
      <c r="G45" s="1" t="s">
        <v>32</v>
      </c>
    </row>
    <row r="46" spans="1:7" x14ac:dyDescent="0.3">
      <c r="A46" s="1" t="s">
        <v>271</v>
      </c>
      <c r="B46" s="4">
        <v>46207</v>
      </c>
      <c r="C46" s="1" t="s">
        <v>35</v>
      </c>
      <c r="D46" s="1" t="s">
        <v>155</v>
      </c>
      <c r="E46" s="1">
        <v>1164.3900000000001</v>
      </c>
      <c r="F46" s="1">
        <v>60</v>
      </c>
      <c r="G46" s="1" t="s">
        <v>90</v>
      </c>
    </row>
    <row r="47" spans="1:7" x14ac:dyDescent="0.3">
      <c r="A47" s="1" t="s">
        <v>272</v>
      </c>
      <c r="B47" s="4">
        <v>46194</v>
      </c>
      <c r="C47" s="1" t="s">
        <v>38</v>
      </c>
      <c r="D47" s="1" t="s">
        <v>147</v>
      </c>
      <c r="E47" s="1">
        <v>1113.3599999999999</v>
      </c>
      <c r="F47" s="1">
        <v>28</v>
      </c>
      <c r="G47" s="1" t="s">
        <v>32</v>
      </c>
    </row>
    <row r="48" spans="1:7" x14ac:dyDescent="0.3">
      <c r="A48" s="1" t="s">
        <v>273</v>
      </c>
      <c r="B48" s="4">
        <v>46207</v>
      </c>
      <c r="C48" s="1" t="s">
        <v>41</v>
      </c>
      <c r="D48" s="1" t="s">
        <v>162</v>
      </c>
      <c r="E48" s="1">
        <v>610.80999999999995</v>
      </c>
      <c r="F48" s="1">
        <v>38</v>
      </c>
      <c r="G48" s="1" t="s">
        <v>32</v>
      </c>
    </row>
    <row r="49" spans="1:7" x14ac:dyDescent="0.3">
      <c r="A49" s="1" t="s">
        <v>274</v>
      </c>
      <c r="B49" s="4">
        <v>46260</v>
      </c>
      <c r="C49" s="1" t="s">
        <v>31</v>
      </c>
      <c r="D49" s="1" t="s">
        <v>147</v>
      </c>
      <c r="E49" s="1">
        <v>350.85</v>
      </c>
      <c r="F49" s="1">
        <v>17</v>
      </c>
      <c r="G49" s="1" t="s">
        <v>32</v>
      </c>
    </row>
    <row r="50" spans="1:7" x14ac:dyDescent="0.3">
      <c r="A50" s="1" t="s">
        <v>275</v>
      </c>
      <c r="B50" s="4">
        <v>46217</v>
      </c>
      <c r="C50" s="1" t="s">
        <v>31</v>
      </c>
      <c r="D50" s="1" t="s">
        <v>147</v>
      </c>
      <c r="E50" s="1">
        <v>1074.0899999999999</v>
      </c>
      <c r="F50" s="1">
        <v>37</v>
      </c>
      <c r="G50" s="1" t="s">
        <v>32</v>
      </c>
    </row>
    <row r="51" spans="1:7" x14ac:dyDescent="0.3">
      <c r="A51" s="1" t="s">
        <v>276</v>
      </c>
      <c r="B51" s="4">
        <v>46229</v>
      </c>
      <c r="C51" s="1" t="s">
        <v>35</v>
      </c>
      <c r="D51" s="1" t="s">
        <v>155</v>
      </c>
      <c r="E51" s="1">
        <v>600.21</v>
      </c>
      <c r="F51" s="1">
        <v>14</v>
      </c>
      <c r="G51" s="1" t="s">
        <v>42</v>
      </c>
    </row>
    <row r="52" spans="1:7" x14ac:dyDescent="0.3">
      <c r="A52" s="1" t="s">
        <v>277</v>
      </c>
      <c r="B52" s="4">
        <v>46223</v>
      </c>
      <c r="C52" s="1" t="s">
        <v>31</v>
      </c>
      <c r="D52" s="1" t="s">
        <v>155</v>
      </c>
      <c r="E52" s="1">
        <v>727.77</v>
      </c>
      <c r="F52" s="1">
        <v>38</v>
      </c>
      <c r="G52" s="1" t="s">
        <v>32</v>
      </c>
    </row>
    <row r="53" spans="1:7" x14ac:dyDescent="0.3">
      <c r="A53" s="1" t="s">
        <v>278</v>
      </c>
      <c r="B53" s="4">
        <v>46225</v>
      </c>
      <c r="C53" s="1" t="s">
        <v>31</v>
      </c>
      <c r="D53" s="1" t="s">
        <v>147</v>
      </c>
      <c r="E53" s="1">
        <v>651.23</v>
      </c>
      <c r="F53" s="1">
        <v>58</v>
      </c>
      <c r="G53" s="1" t="s">
        <v>90</v>
      </c>
    </row>
    <row r="54" spans="1:7" x14ac:dyDescent="0.3">
      <c r="A54" s="1" t="s">
        <v>279</v>
      </c>
      <c r="B54" s="4">
        <v>46245</v>
      </c>
      <c r="C54" s="1" t="s">
        <v>35</v>
      </c>
      <c r="D54" s="1" t="s">
        <v>155</v>
      </c>
      <c r="E54" s="1">
        <v>759.21</v>
      </c>
      <c r="F54" s="1">
        <v>16</v>
      </c>
      <c r="G54" s="1" t="s">
        <v>42</v>
      </c>
    </row>
    <row r="55" spans="1:7" x14ac:dyDescent="0.3">
      <c r="A55" s="1" t="s">
        <v>280</v>
      </c>
      <c r="B55" s="4">
        <v>46188</v>
      </c>
      <c r="C55" s="1" t="s">
        <v>38</v>
      </c>
      <c r="D55" s="1" t="s">
        <v>155</v>
      </c>
      <c r="E55" s="1">
        <v>1644.13</v>
      </c>
      <c r="F55" s="1">
        <v>29</v>
      </c>
      <c r="G55" s="1" t="s">
        <v>32</v>
      </c>
    </row>
    <row r="56" spans="1:7" x14ac:dyDescent="0.3">
      <c r="A56" s="1" t="s">
        <v>281</v>
      </c>
      <c r="B56" s="4">
        <v>46248</v>
      </c>
      <c r="C56" s="1" t="s">
        <v>38</v>
      </c>
      <c r="D56" s="1" t="s">
        <v>151</v>
      </c>
      <c r="E56" s="1">
        <v>621.51</v>
      </c>
      <c r="F56" s="1">
        <v>47</v>
      </c>
      <c r="G56" s="1" t="s">
        <v>32</v>
      </c>
    </row>
    <row r="57" spans="1:7" x14ac:dyDescent="0.3">
      <c r="A57" s="1" t="s">
        <v>282</v>
      </c>
      <c r="B57" s="4">
        <v>46192</v>
      </c>
      <c r="C57" s="1" t="s">
        <v>41</v>
      </c>
      <c r="D57" s="1" t="s">
        <v>151</v>
      </c>
      <c r="E57" s="1">
        <v>1496.42</v>
      </c>
      <c r="F57" s="1">
        <v>13</v>
      </c>
      <c r="G57" s="1" t="s">
        <v>32</v>
      </c>
    </row>
    <row r="58" spans="1:7" x14ac:dyDescent="0.3">
      <c r="A58" s="1" t="s">
        <v>283</v>
      </c>
      <c r="B58" s="4">
        <v>46213</v>
      </c>
      <c r="C58" s="1" t="s">
        <v>38</v>
      </c>
      <c r="D58" s="1" t="s">
        <v>151</v>
      </c>
      <c r="E58" s="1">
        <v>1731.27</v>
      </c>
      <c r="F58" s="1">
        <v>52</v>
      </c>
      <c r="G58" s="1" t="s">
        <v>32</v>
      </c>
    </row>
    <row r="59" spans="1:7" x14ac:dyDescent="0.3">
      <c r="A59" s="1" t="s">
        <v>284</v>
      </c>
      <c r="B59" s="4">
        <v>46177</v>
      </c>
      <c r="C59" s="1" t="s">
        <v>31</v>
      </c>
      <c r="D59" s="1" t="s">
        <v>147</v>
      </c>
      <c r="E59" s="1">
        <v>468.88</v>
      </c>
      <c r="F59" s="1">
        <v>43</v>
      </c>
      <c r="G59" s="1" t="s">
        <v>32</v>
      </c>
    </row>
    <row r="60" spans="1:7" x14ac:dyDescent="0.3">
      <c r="A60" s="1" t="s">
        <v>285</v>
      </c>
      <c r="B60" s="4">
        <v>46263</v>
      </c>
      <c r="C60" s="1" t="s">
        <v>38</v>
      </c>
      <c r="D60" s="1" t="s">
        <v>147</v>
      </c>
      <c r="E60" s="1">
        <v>465.64</v>
      </c>
      <c r="F60" s="1">
        <v>8</v>
      </c>
      <c r="G60" s="1" t="s">
        <v>32</v>
      </c>
    </row>
    <row r="61" spans="1:7" x14ac:dyDescent="0.3">
      <c r="A61" s="1" t="s">
        <v>286</v>
      </c>
      <c r="B61" s="4">
        <v>46204</v>
      </c>
      <c r="C61" s="1" t="s">
        <v>45</v>
      </c>
      <c r="D61" s="1" t="s">
        <v>162</v>
      </c>
      <c r="E61" s="1">
        <v>591.16</v>
      </c>
      <c r="F61" s="1">
        <v>17</v>
      </c>
      <c r="G61" s="1" t="s">
        <v>32</v>
      </c>
    </row>
    <row r="62" spans="1:7" x14ac:dyDescent="0.3">
      <c r="A62" s="1" t="s">
        <v>287</v>
      </c>
      <c r="B62" s="4">
        <v>46220</v>
      </c>
      <c r="C62" s="1" t="s">
        <v>45</v>
      </c>
      <c r="D62" s="1" t="s">
        <v>147</v>
      </c>
      <c r="E62" s="1">
        <v>935.6</v>
      </c>
      <c r="F62" s="1">
        <v>33</v>
      </c>
      <c r="G62" s="1" t="s">
        <v>32</v>
      </c>
    </row>
    <row r="63" spans="1:7" x14ac:dyDescent="0.3">
      <c r="A63" s="1" t="s">
        <v>288</v>
      </c>
      <c r="B63" s="4">
        <v>46193</v>
      </c>
      <c r="C63" s="1" t="s">
        <v>38</v>
      </c>
      <c r="D63" s="1" t="s">
        <v>155</v>
      </c>
      <c r="E63" s="1">
        <v>1569.07</v>
      </c>
      <c r="F63" s="1">
        <v>47</v>
      </c>
      <c r="G63" s="1" t="s">
        <v>32</v>
      </c>
    </row>
    <row r="64" spans="1:7" x14ac:dyDescent="0.3">
      <c r="A64" s="1" t="s">
        <v>289</v>
      </c>
      <c r="B64" s="4">
        <v>46239</v>
      </c>
      <c r="C64" s="1" t="s">
        <v>38</v>
      </c>
      <c r="D64" s="1" t="s">
        <v>159</v>
      </c>
      <c r="E64" s="1">
        <v>1185.0899999999999</v>
      </c>
      <c r="F64" s="1">
        <v>13</v>
      </c>
      <c r="G64" s="1" t="s">
        <v>32</v>
      </c>
    </row>
    <row r="65" spans="1:7" x14ac:dyDescent="0.3">
      <c r="A65" s="1" t="s">
        <v>290</v>
      </c>
      <c r="B65" s="4">
        <v>46245</v>
      </c>
      <c r="C65" s="1" t="s">
        <v>41</v>
      </c>
      <c r="D65" s="1" t="s">
        <v>151</v>
      </c>
      <c r="E65" s="1">
        <v>602.92999999999995</v>
      </c>
      <c r="F65" s="1">
        <v>50</v>
      </c>
      <c r="G65" s="1" t="s">
        <v>32</v>
      </c>
    </row>
    <row r="66" spans="1:7" x14ac:dyDescent="0.3">
      <c r="A66" s="1" t="s">
        <v>291</v>
      </c>
      <c r="B66" s="4">
        <v>46226</v>
      </c>
      <c r="C66" s="1" t="s">
        <v>38</v>
      </c>
      <c r="D66" s="1" t="s">
        <v>151</v>
      </c>
      <c r="E66" s="1">
        <v>654.91</v>
      </c>
      <c r="F66" s="1">
        <v>38</v>
      </c>
      <c r="G66" s="1" t="s">
        <v>32</v>
      </c>
    </row>
    <row r="67" spans="1:7" x14ac:dyDescent="0.3">
      <c r="A67" s="1" t="s">
        <v>292</v>
      </c>
      <c r="B67" s="4">
        <v>46232</v>
      </c>
      <c r="C67" s="1" t="s">
        <v>38</v>
      </c>
      <c r="D67" s="1" t="s">
        <v>162</v>
      </c>
      <c r="E67" s="1">
        <v>536.16</v>
      </c>
      <c r="F67" s="1">
        <v>24</v>
      </c>
      <c r="G67" s="1" t="s">
        <v>32</v>
      </c>
    </row>
    <row r="68" spans="1:7" x14ac:dyDescent="0.3">
      <c r="A68" s="1" t="s">
        <v>293</v>
      </c>
      <c r="B68" s="4">
        <v>46265</v>
      </c>
      <c r="C68" s="1" t="s">
        <v>41</v>
      </c>
      <c r="D68" s="1" t="s">
        <v>147</v>
      </c>
      <c r="E68" s="1">
        <v>943.36</v>
      </c>
      <c r="F68" s="1">
        <v>26</v>
      </c>
      <c r="G68" s="1" t="s">
        <v>32</v>
      </c>
    </row>
    <row r="69" spans="1:7" x14ac:dyDescent="0.3">
      <c r="A69" s="1" t="s">
        <v>294</v>
      </c>
      <c r="B69" s="4">
        <v>46223</v>
      </c>
      <c r="C69" s="1" t="s">
        <v>35</v>
      </c>
      <c r="D69" s="1" t="s">
        <v>159</v>
      </c>
      <c r="E69" s="1">
        <v>1392.13</v>
      </c>
      <c r="F69" s="1">
        <v>34</v>
      </c>
      <c r="G69" s="1" t="s">
        <v>32</v>
      </c>
    </row>
    <row r="70" spans="1:7" x14ac:dyDescent="0.3">
      <c r="A70" s="1" t="s">
        <v>295</v>
      </c>
      <c r="B70" s="4">
        <v>46198</v>
      </c>
      <c r="C70" s="1" t="s">
        <v>45</v>
      </c>
      <c r="D70" s="1" t="s">
        <v>147</v>
      </c>
      <c r="E70" s="1">
        <v>1472.35</v>
      </c>
      <c r="F70" s="1">
        <v>25</v>
      </c>
      <c r="G70" s="1" t="s">
        <v>32</v>
      </c>
    </row>
    <row r="71" spans="1:7" x14ac:dyDescent="0.3">
      <c r="A71" s="1" t="s">
        <v>296</v>
      </c>
      <c r="B71" s="4">
        <v>46186</v>
      </c>
      <c r="C71" s="1" t="s">
        <v>41</v>
      </c>
      <c r="D71" s="1" t="s">
        <v>151</v>
      </c>
      <c r="E71" s="1">
        <v>521.94000000000005</v>
      </c>
      <c r="F71" s="1">
        <v>43</v>
      </c>
      <c r="G71" s="1" t="s">
        <v>32</v>
      </c>
    </row>
    <row r="72" spans="1:7" x14ac:dyDescent="0.3">
      <c r="A72" s="1" t="s">
        <v>297</v>
      </c>
      <c r="B72" s="4">
        <v>46205</v>
      </c>
      <c r="C72" s="1" t="s">
        <v>35</v>
      </c>
      <c r="D72" s="1" t="s">
        <v>155</v>
      </c>
      <c r="E72" s="1">
        <v>1448.06</v>
      </c>
      <c r="F72" s="1">
        <v>54</v>
      </c>
      <c r="G72" s="1" t="s">
        <v>32</v>
      </c>
    </row>
    <row r="73" spans="1:7" x14ac:dyDescent="0.3">
      <c r="A73" s="1" t="s">
        <v>298</v>
      </c>
      <c r="B73" s="4">
        <v>46250</v>
      </c>
      <c r="C73" s="1" t="s">
        <v>45</v>
      </c>
      <c r="D73" s="1" t="s">
        <v>147</v>
      </c>
      <c r="E73" s="1">
        <v>1177.25</v>
      </c>
      <c r="F73" s="1">
        <v>34</v>
      </c>
      <c r="G73" s="1" t="s">
        <v>32</v>
      </c>
    </row>
    <row r="74" spans="1:7" x14ac:dyDescent="0.3">
      <c r="A74" s="1" t="s">
        <v>299</v>
      </c>
      <c r="B74" s="4">
        <v>46250</v>
      </c>
      <c r="C74" s="1" t="s">
        <v>45</v>
      </c>
      <c r="D74" s="1" t="s">
        <v>162</v>
      </c>
      <c r="E74" s="1">
        <v>459.53</v>
      </c>
      <c r="F74" s="1">
        <v>33</v>
      </c>
      <c r="G74" s="1" t="s">
        <v>32</v>
      </c>
    </row>
    <row r="75" spans="1:7" x14ac:dyDescent="0.3">
      <c r="A75" s="1" t="s">
        <v>300</v>
      </c>
      <c r="B75" s="4">
        <v>46261</v>
      </c>
      <c r="C75" s="1" t="s">
        <v>31</v>
      </c>
      <c r="D75" s="1" t="s">
        <v>155</v>
      </c>
      <c r="E75" s="1">
        <v>1637.61</v>
      </c>
      <c r="F75" s="1">
        <v>25</v>
      </c>
      <c r="G75" s="1" t="s">
        <v>32</v>
      </c>
    </row>
    <row r="76" spans="1:7" x14ac:dyDescent="0.3">
      <c r="A76" s="1" t="s">
        <v>301</v>
      </c>
      <c r="B76" s="4">
        <v>46218</v>
      </c>
      <c r="C76" s="1" t="s">
        <v>31</v>
      </c>
      <c r="D76" s="1" t="s">
        <v>162</v>
      </c>
      <c r="E76" s="1">
        <v>1709.22</v>
      </c>
      <c r="F76" s="1">
        <v>55</v>
      </c>
      <c r="G76" s="1" t="s">
        <v>32</v>
      </c>
    </row>
    <row r="77" spans="1:7" x14ac:dyDescent="0.3">
      <c r="A77" s="1" t="s">
        <v>302</v>
      </c>
      <c r="B77" s="4">
        <v>46233</v>
      </c>
      <c r="C77" s="1" t="s">
        <v>35</v>
      </c>
      <c r="D77" s="1" t="s">
        <v>151</v>
      </c>
      <c r="E77" s="1">
        <v>390.2</v>
      </c>
      <c r="F77" s="1">
        <v>16</v>
      </c>
      <c r="G77" s="1" t="s">
        <v>32</v>
      </c>
    </row>
    <row r="78" spans="1:7" x14ac:dyDescent="0.3">
      <c r="A78" s="1" t="s">
        <v>303</v>
      </c>
      <c r="B78" s="4">
        <v>46249</v>
      </c>
      <c r="C78" s="1" t="s">
        <v>31</v>
      </c>
      <c r="D78" s="1" t="s">
        <v>155</v>
      </c>
      <c r="E78" s="1">
        <v>578.12</v>
      </c>
      <c r="F78" s="1">
        <v>49</v>
      </c>
      <c r="G78" s="1" t="s">
        <v>32</v>
      </c>
    </row>
    <row r="79" spans="1:7" x14ac:dyDescent="0.3">
      <c r="A79" s="1" t="s">
        <v>304</v>
      </c>
      <c r="B79" s="4">
        <v>46196</v>
      </c>
      <c r="C79" s="1" t="s">
        <v>31</v>
      </c>
      <c r="D79" s="1" t="s">
        <v>159</v>
      </c>
      <c r="E79" s="1">
        <v>252.28</v>
      </c>
      <c r="F79" s="1">
        <v>29</v>
      </c>
      <c r="G79" s="1" t="s">
        <v>32</v>
      </c>
    </row>
    <row r="80" spans="1:7" x14ac:dyDescent="0.3">
      <c r="A80" s="1" t="s">
        <v>305</v>
      </c>
      <c r="B80" s="4">
        <v>46199</v>
      </c>
      <c r="C80" s="1" t="s">
        <v>31</v>
      </c>
      <c r="D80" s="1" t="s">
        <v>147</v>
      </c>
      <c r="E80" s="1">
        <v>383.75</v>
      </c>
      <c r="F80" s="1">
        <v>35</v>
      </c>
      <c r="G80" s="1" t="s">
        <v>32</v>
      </c>
    </row>
    <row r="81" spans="1:7" x14ac:dyDescent="0.3">
      <c r="A81" s="1" t="s">
        <v>306</v>
      </c>
      <c r="B81" s="4">
        <v>46179</v>
      </c>
      <c r="C81" s="1" t="s">
        <v>45</v>
      </c>
      <c r="D81" s="1" t="s">
        <v>159</v>
      </c>
      <c r="E81" s="1">
        <v>1226.49</v>
      </c>
      <c r="F81" s="1">
        <v>42</v>
      </c>
      <c r="G81" s="1" t="s">
        <v>32</v>
      </c>
    </row>
    <row r="82" spans="1:7" x14ac:dyDescent="0.3">
      <c r="A82" s="1" t="s">
        <v>307</v>
      </c>
      <c r="B82" s="4">
        <v>46225</v>
      </c>
      <c r="C82" s="1" t="s">
        <v>35</v>
      </c>
      <c r="D82" s="1" t="s">
        <v>159</v>
      </c>
      <c r="E82" s="1">
        <v>348</v>
      </c>
      <c r="F82" s="1">
        <v>17</v>
      </c>
      <c r="G82" s="1" t="s">
        <v>32</v>
      </c>
    </row>
    <row r="83" spans="1:7" x14ac:dyDescent="0.3">
      <c r="A83" s="1" t="s">
        <v>308</v>
      </c>
      <c r="B83" s="4">
        <v>46187</v>
      </c>
      <c r="C83" s="1" t="s">
        <v>35</v>
      </c>
      <c r="D83" s="1" t="s">
        <v>147</v>
      </c>
      <c r="E83" s="1">
        <v>1479.27</v>
      </c>
      <c r="F83" s="1">
        <v>54</v>
      </c>
      <c r="G83" s="1" t="s">
        <v>32</v>
      </c>
    </row>
    <row r="84" spans="1:7" x14ac:dyDescent="0.3">
      <c r="A84" s="1" t="s">
        <v>309</v>
      </c>
      <c r="B84" s="4">
        <v>46193</v>
      </c>
      <c r="C84" s="1" t="s">
        <v>41</v>
      </c>
      <c r="D84" s="1" t="s">
        <v>162</v>
      </c>
      <c r="E84" s="1">
        <v>616.64</v>
      </c>
      <c r="F84" s="1">
        <v>45</v>
      </c>
      <c r="G84" s="1" t="s">
        <v>32</v>
      </c>
    </row>
    <row r="85" spans="1:7" x14ac:dyDescent="0.3">
      <c r="A85" s="1" t="s">
        <v>310</v>
      </c>
      <c r="B85" s="4">
        <v>46184</v>
      </c>
      <c r="C85" s="1" t="s">
        <v>38</v>
      </c>
      <c r="D85" s="1" t="s">
        <v>147</v>
      </c>
      <c r="E85" s="1">
        <v>929.29</v>
      </c>
      <c r="F85" s="1">
        <v>45</v>
      </c>
      <c r="G85" s="1" t="s">
        <v>32</v>
      </c>
    </row>
    <row r="86" spans="1:7" x14ac:dyDescent="0.3">
      <c r="A86" s="1" t="s">
        <v>311</v>
      </c>
      <c r="B86" s="4">
        <v>46230</v>
      </c>
      <c r="C86" s="1" t="s">
        <v>31</v>
      </c>
      <c r="D86" s="1" t="s">
        <v>151</v>
      </c>
      <c r="E86" s="1">
        <v>180.57</v>
      </c>
      <c r="F86" s="1">
        <v>24</v>
      </c>
      <c r="G86" s="1" t="s">
        <v>32</v>
      </c>
    </row>
    <row r="87" spans="1:7" x14ac:dyDescent="0.3">
      <c r="A87" s="1" t="s">
        <v>312</v>
      </c>
      <c r="B87" s="4">
        <v>46193</v>
      </c>
      <c r="C87" s="1" t="s">
        <v>41</v>
      </c>
      <c r="D87" s="1" t="s">
        <v>159</v>
      </c>
      <c r="E87" s="1">
        <v>425.49</v>
      </c>
      <c r="F87" s="1">
        <v>18</v>
      </c>
      <c r="G87" s="1" t="s">
        <v>32</v>
      </c>
    </row>
    <row r="88" spans="1:7" x14ac:dyDescent="0.3">
      <c r="A88" s="1" t="s">
        <v>313</v>
      </c>
      <c r="B88" s="4">
        <v>46248</v>
      </c>
      <c r="C88" s="1" t="s">
        <v>35</v>
      </c>
      <c r="D88" s="1" t="s">
        <v>159</v>
      </c>
      <c r="E88" s="1">
        <v>334.31</v>
      </c>
      <c r="F88" s="1">
        <v>45</v>
      </c>
      <c r="G88" s="1" t="s">
        <v>32</v>
      </c>
    </row>
    <row r="89" spans="1:7" x14ac:dyDescent="0.3">
      <c r="A89" s="1" t="s">
        <v>314</v>
      </c>
      <c r="B89" s="4">
        <v>46184</v>
      </c>
      <c r="C89" s="1" t="s">
        <v>38</v>
      </c>
      <c r="D89" s="1" t="s">
        <v>162</v>
      </c>
      <c r="E89" s="1">
        <v>1684.45</v>
      </c>
      <c r="F89" s="1">
        <v>43</v>
      </c>
      <c r="G89" s="1" t="s">
        <v>32</v>
      </c>
    </row>
    <row r="90" spans="1:7" x14ac:dyDescent="0.3">
      <c r="A90" s="1" t="s">
        <v>315</v>
      </c>
      <c r="B90" s="4">
        <v>46254</v>
      </c>
      <c r="C90" s="1" t="s">
        <v>41</v>
      </c>
      <c r="D90" s="1" t="s">
        <v>159</v>
      </c>
      <c r="E90" s="1">
        <v>551.46</v>
      </c>
      <c r="F90" s="1">
        <v>19</v>
      </c>
      <c r="G90" s="1" t="s">
        <v>32</v>
      </c>
    </row>
    <row r="91" spans="1:7" x14ac:dyDescent="0.3">
      <c r="A91" s="1" t="s">
        <v>316</v>
      </c>
      <c r="B91" s="4">
        <v>46222</v>
      </c>
      <c r="C91" s="1" t="s">
        <v>41</v>
      </c>
      <c r="D91" s="1" t="s">
        <v>155</v>
      </c>
      <c r="E91" s="1">
        <v>842.68</v>
      </c>
      <c r="F91" s="1">
        <v>33</v>
      </c>
      <c r="G91" s="1" t="s">
        <v>42</v>
      </c>
    </row>
    <row r="92" spans="1:7" x14ac:dyDescent="0.3">
      <c r="A92" s="1" t="s">
        <v>317</v>
      </c>
      <c r="B92" s="4">
        <v>46214</v>
      </c>
      <c r="C92" s="1" t="s">
        <v>35</v>
      </c>
      <c r="D92" s="1" t="s">
        <v>151</v>
      </c>
      <c r="E92" s="1">
        <v>242.73</v>
      </c>
      <c r="F92" s="1">
        <v>39</v>
      </c>
      <c r="G92" s="1" t="s">
        <v>32</v>
      </c>
    </row>
    <row r="93" spans="1:7" x14ac:dyDescent="0.3">
      <c r="A93" s="1" t="s">
        <v>318</v>
      </c>
      <c r="B93" s="4">
        <v>46220</v>
      </c>
      <c r="C93" s="1" t="s">
        <v>45</v>
      </c>
      <c r="D93" s="1" t="s">
        <v>151</v>
      </c>
      <c r="E93" s="1">
        <v>1340.41</v>
      </c>
      <c r="F93" s="1">
        <v>66</v>
      </c>
      <c r="G93" s="1" t="s">
        <v>90</v>
      </c>
    </row>
    <row r="94" spans="1:7" x14ac:dyDescent="0.3">
      <c r="A94" s="1" t="s">
        <v>319</v>
      </c>
      <c r="B94" s="4">
        <v>46240</v>
      </c>
      <c r="C94" s="1" t="s">
        <v>41</v>
      </c>
      <c r="D94" s="1" t="s">
        <v>162</v>
      </c>
      <c r="E94" s="1">
        <v>1186</v>
      </c>
      <c r="F94" s="1">
        <v>13</v>
      </c>
      <c r="G94" s="1" t="s">
        <v>32</v>
      </c>
    </row>
    <row r="95" spans="1:7" x14ac:dyDescent="0.3">
      <c r="A95" s="1" t="s">
        <v>320</v>
      </c>
      <c r="B95" s="4">
        <v>46174</v>
      </c>
      <c r="C95" s="1" t="s">
        <v>38</v>
      </c>
      <c r="D95" s="1" t="s">
        <v>162</v>
      </c>
      <c r="E95" s="1">
        <v>581.29999999999995</v>
      </c>
      <c r="F95" s="1">
        <v>29</v>
      </c>
      <c r="G95" s="1" t="s">
        <v>32</v>
      </c>
    </row>
    <row r="96" spans="1:7" x14ac:dyDescent="0.3">
      <c r="A96" s="1" t="s">
        <v>321</v>
      </c>
      <c r="B96" s="4">
        <v>46237</v>
      </c>
      <c r="C96" s="1" t="s">
        <v>35</v>
      </c>
      <c r="D96" s="1" t="s">
        <v>155</v>
      </c>
      <c r="E96" s="1">
        <v>1623.86</v>
      </c>
      <c r="F96" s="1">
        <v>39</v>
      </c>
      <c r="G96" s="1" t="s">
        <v>42</v>
      </c>
    </row>
    <row r="97" spans="1:7" x14ac:dyDescent="0.3">
      <c r="A97" s="1" t="s">
        <v>322</v>
      </c>
      <c r="B97" s="4">
        <v>46262</v>
      </c>
      <c r="C97" s="1" t="s">
        <v>45</v>
      </c>
      <c r="D97" s="1" t="s">
        <v>162</v>
      </c>
      <c r="E97" s="1">
        <v>410.97</v>
      </c>
      <c r="F97" s="1">
        <v>32</v>
      </c>
      <c r="G97" s="1" t="s">
        <v>32</v>
      </c>
    </row>
    <row r="98" spans="1:7" x14ac:dyDescent="0.3">
      <c r="A98" s="1" t="s">
        <v>323</v>
      </c>
      <c r="B98" s="4">
        <v>46176</v>
      </c>
      <c r="C98" s="1" t="s">
        <v>31</v>
      </c>
      <c r="D98" s="1" t="s">
        <v>147</v>
      </c>
      <c r="E98" s="1">
        <v>413.32</v>
      </c>
      <c r="F98" s="1">
        <v>41</v>
      </c>
      <c r="G98" s="1" t="s">
        <v>42</v>
      </c>
    </row>
    <row r="99" spans="1:7" x14ac:dyDescent="0.3">
      <c r="A99" s="1" t="s">
        <v>324</v>
      </c>
      <c r="B99" s="4">
        <v>46180</v>
      </c>
      <c r="C99" s="1" t="s">
        <v>35</v>
      </c>
      <c r="D99" s="1" t="s">
        <v>162</v>
      </c>
      <c r="E99" s="1">
        <v>431.03</v>
      </c>
      <c r="F99" s="1">
        <v>34</v>
      </c>
      <c r="G99" s="1" t="s">
        <v>32</v>
      </c>
    </row>
    <row r="100" spans="1:7" x14ac:dyDescent="0.3">
      <c r="A100" s="1" t="s">
        <v>325</v>
      </c>
      <c r="B100" s="4">
        <v>46231</v>
      </c>
      <c r="C100" s="1" t="s">
        <v>35</v>
      </c>
      <c r="D100" s="1" t="s">
        <v>159</v>
      </c>
      <c r="E100" s="1">
        <v>911.36</v>
      </c>
      <c r="F100" s="1">
        <v>32</v>
      </c>
      <c r="G100" s="1" t="s">
        <v>32</v>
      </c>
    </row>
    <row r="101" spans="1:7" x14ac:dyDescent="0.3">
      <c r="A101" s="1" t="s">
        <v>326</v>
      </c>
      <c r="B101" s="4">
        <v>46184</v>
      </c>
      <c r="C101" s="1" t="s">
        <v>45</v>
      </c>
      <c r="D101" s="1" t="s">
        <v>147</v>
      </c>
      <c r="E101" s="1">
        <v>650.74</v>
      </c>
      <c r="F101" s="1">
        <v>21</v>
      </c>
      <c r="G101" s="1" t="s">
        <v>32</v>
      </c>
    </row>
    <row r="102" spans="1:7" x14ac:dyDescent="0.3">
      <c r="A102" s="1" t="s">
        <v>327</v>
      </c>
      <c r="B102" s="4">
        <v>46209</v>
      </c>
      <c r="C102" s="1" t="s">
        <v>35</v>
      </c>
      <c r="D102" s="1" t="s">
        <v>151</v>
      </c>
      <c r="E102" s="1">
        <v>478.04</v>
      </c>
      <c r="F102" s="1">
        <v>50</v>
      </c>
      <c r="G102" s="1" t="s">
        <v>32</v>
      </c>
    </row>
    <row r="103" spans="1:7" x14ac:dyDescent="0.3">
      <c r="A103" s="1" t="s">
        <v>328</v>
      </c>
      <c r="B103" s="4">
        <v>46257</v>
      </c>
      <c r="C103" s="1" t="s">
        <v>38</v>
      </c>
      <c r="D103" s="1" t="s">
        <v>155</v>
      </c>
      <c r="E103" s="1">
        <v>384.55</v>
      </c>
      <c r="F103" s="1">
        <v>35</v>
      </c>
      <c r="G103" s="1" t="s">
        <v>32</v>
      </c>
    </row>
    <row r="104" spans="1:7" x14ac:dyDescent="0.3">
      <c r="A104" s="1" t="s">
        <v>329</v>
      </c>
      <c r="B104" s="4">
        <v>46262</v>
      </c>
      <c r="C104" s="1" t="s">
        <v>31</v>
      </c>
      <c r="D104" s="1" t="s">
        <v>155</v>
      </c>
      <c r="E104" s="1">
        <v>813.72</v>
      </c>
      <c r="F104" s="1">
        <v>42</v>
      </c>
      <c r="G104" s="1" t="s">
        <v>42</v>
      </c>
    </row>
    <row r="105" spans="1:7" x14ac:dyDescent="0.3">
      <c r="A105" s="1" t="s">
        <v>330</v>
      </c>
      <c r="B105" s="4">
        <v>46217</v>
      </c>
      <c r="C105" s="1" t="s">
        <v>41</v>
      </c>
      <c r="D105" s="1" t="s">
        <v>159</v>
      </c>
      <c r="E105" s="1">
        <v>1495.66</v>
      </c>
      <c r="F105" s="1">
        <v>30</v>
      </c>
      <c r="G105" s="1" t="s">
        <v>32</v>
      </c>
    </row>
    <row r="106" spans="1:7" x14ac:dyDescent="0.3">
      <c r="A106" s="1" t="s">
        <v>331</v>
      </c>
      <c r="B106" s="4">
        <v>46190</v>
      </c>
      <c r="C106" s="1" t="s">
        <v>45</v>
      </c>
      <c r="D106" s="1" t="s">
        <v>159</v>
      </c>
      <c r="E106" s="1">
        <v>999.73</v>
      </c>
      <c r="F106" s="1">
        <v>44</v>
      </c>
      <c r="G106" s="1" t="s">
        <v>32</v>
      </c>
    </row>
    <row r="107" spans="1:7" x14ac:dyDescent="0.3">
      <c r="A107" s="1" t="s">
        <v>332</v>
      </c>
      <c r="B107" s="4">
        <v>46259</v>
      </c>
      <c r="C107" s="1" t="s">
        <v>31</v>
      </c>
      <c r="D107" s="1" t="s">
        <v>162</v>
      </c>
      <c r="E107" s="1">
        <v>716.88</v>
      </c>
      <c r="F107" s="1">
        <v>43</v>
      </c>
      <c r="G107" s="1" t="s">
        <v>32</v>
      </c>
    </row>
    <row r="108" spans="1:7" x14ac:dyDescent="0.3">
      <c r="A108" s="1" t="s">
        <v>333</v>
      </c>
      <c r="B108" s="4">
        <v>46244</v>
      </c>
      <c r="C108" s="1" t="s">
        <v>35</v>
      </c>
      <c r="D108" s="1" t="s">
        <v>151</v>
      </c>
      <c r="E108" s="1">
        <v>369.45</v>
      </c>
      <c r="F108" s="1">
        <v>53</v>
      </c>
      <c r="G108" s="1" t="s">
        <v>32</v>
      </c>
    </row>
    <row r="109" spans="1:7" x14ac:dyDescent="0.3">
      <c r="A109" s="1" t="s">
        <v>334</v>
      </c>
      <c r="B109" s="4">
        <v>46224</v>
      </c>
      <c r="C109" s="1" t="s">
        <v>41</v>
      </c>
      <c r="D109" s="1" t="s">
        <v>162</v>
      </c>
      <c r="E109" s="1">
        <v>819.59</v>
      </c>
      <c r="F109" s="1">
        <v>36</v>
      </c>
      <c r="G109" s="1" t="s">
        <v>32</v>
      </c>
    </row>
    <row r="110" spans="1:7" x14ac:dyDescent="0.3">
      <c r="A110" s="1" t="s">
        <v>335</v>
      </c>
      <c r="B110" s="4">
        <v>46231</v>
      </c>
      <c r="C110" s="1" t="s">
        <v>35</v>
      </c>
      <c r="D110" s="1" t="s">
        <v>147</v>
      </c>
      <c r="E110" s="1">
        <v>586.76</v>
      </c>
      <c r="F110" s="1">
        <v>40</v>
      </c>
      <c r="G110" s="1" t="s">
        <v>32</v>
      </c>
    </row>
    <row r="111" spans="1:7" x14ac:dyDescent="0.3">
      <c r="A111" s="1" t="s">
        <v>336</v>
      </c>
      <c r="B111" s="4">
        <v>46256</v>
      </c>
      <c r="C111" s="1" t="s">
        <v>31</v>
      </c>
      <c r="D111" s="1" t="s">
        <v>155</v>
      </c>
      <c r="E111" s="1">
        <v>293.35000000000002</v>
      </c>
      <c r="F111" s="1">
        <v>34</v>
      </c>
      <c r="G111" s="1" t="s">
        <v>32</v>
      </c>
    </row>
    <row r="112" spans="1:7" x14ac:dyDescent="0.3">
      <c r="A112" s="1" t="s">
        <v>337</v>
      </c>
      <c r="B112" s="4">
        <v>46231</v>
      </c>
      <c r="C112" s="1" t="s">
        <v>38</v>
      </c>
      <c r="D112" s="1" t="s">
        <v>159</v>
      </c>
      <c r="E112" s="1">
        <v>493.9</v>
      </c>
      <c r="F112" s="1">
        <v>57</v>
      </c>
      <c r="G112" s="1" t="s">
        <v>90</v>
      </c>
    </row>
    <row r="113" spans="1:7" x14ac:dyDescent="0.3">
      <c r="A113" s="1" t="s">
        <v>338</v>
      </c>
      <c r="B113" s="4">
        <v>46237</v>
      </c>
      <c r="C113" s="1" t="s">
        <v>38</v>
      </c>
      <c r="D113" s="1" t="s">
        <v>151</v>
      </c>
      <c r="E113" s="1">
        <v>427.39</v>
      </c>
      <c r="F113" s="1">
        <v>57</v>
      </c>
      <c r="G113" s="1" t="s">
        <v>90</v>
      </c>
    </row>
    <row r="114" spans="1:7" x14ac:dyDescent="0.3">
      <c r="A114" s="1" t="s">
        <v>339</v>
      </c>
      <c r="B114" s="4">
        <v>46227</v>
      </c>
      <c r="C114" s="1" t="s">
        <v>38</v>
      </c>
      <c r="D114" s="1" t="s">
        <v>162</v>
      </c>
      <c r="E114" s="1">
        <v>199.6</v>
      </c>
      <c r="F114" s="1">
        <v>29</v>
      </c>
      <c r="G114" s="1" t="s">
        <v>32</v>
      </c>
    </row>
    <row r="115" spans="1:7" x14ac:dyDescent="0.3">
      <c r="A115" s="1" t="s">
        <v>340</v>
      </c>
      <c r="B115" s="4">
        <v>46191</v>
      </c>
      <c r="C115" s="1" t="s">
        <v>35</v>
      </c>
      <c r="D115" s="1" t="s">
        <v>159</v>
      </c>
      <c r="E115" s="1">
        <v>691.46</v>
      </c>
      <c r="F115" s="1">
        <v>43</v>
      </c>
      <c r="G115" s="1" t="s">
        <v>32</v>
      </c>
    </row>
    <row r="116" spans="1:7" x14ac:dyDescent="0.3">
      <c r="A116" s="1" t="s">
        <v>341</v>
      </c>
      <c r="B116" s="4">
        <v>46223</v>
      </c>
      <c r="C116" s="1" t="s">
        <v>41</v>
      </c>
      <c r="D116" s="1" t="s">
        <v>162</v>
      </c>
      <c r="E116" s="1">
        <v>372.62</v>
      </c>
      <c r="F116" s="1">
        <v>47</v>
      </c>
      <c r="G116" s="1" t="s">
        <v>32</v>
      </c>
    </row>
    <row r="117" spans="1:7" x14ac:dyDescent="0.3">
      <c r="A117" s="1" t="s">
        <v>342</v>
      </c>
      <c r="B117" s="4">
        <v>46181</v>
      </c>
      <c r="C117" s="1" t="s">
        <v>35</v>
      </c>
      <c r="D117" s="1" t="s">
        <v>159</v>
      </c>
      <c r="E117" s="1">
        <v>1094.21</v>
      </c>
      <c r="F117" s="1">
        <v>62</v>
      </c>
      <c r="G117" s="1" t="s">
        <v>90</v>
      </c>
    </row>
    <row r="118" spans="1:7" x14ac:dyDescent="0.3">
      <c r="A118" s="1" t="s">
        <v>343</v>
      </c>
      <c r="B118" s="4">
        <v>46196</v>
      </c>
      <c r="C118" s="1" t="s">
        <v>35</v>
      </c>
      <c r="D118" s="1" t="s">
        <v>162</v>
      </c>
      <c r="E118" s="1">
        <v>1018.09</v>
      </c>
      <c r="F118" s="1">
        <v>58</v>
      </c>
      <c r="G118" s="1" t="s">
        <v>90</v>
      </c>
    </row>
    <row r="119" spans="1:7" x14ac:dyDescent="0.3">
      <c r="A119" s="1" t="s">
        <v>344</v>
      </c>
      <c r="B119" s="4">
        <v>46261</v>
      </c>
      <c r="C119" s="1" t="s">
        <v>31</v>
      </c>
      <c r="D119" s="1" t="s">
        <v>159</v>
      </c>
      <c r="E119" s="1">
        <v>702.79</v>
      </c>
      <c r="F119" s="1">
        <v>42</v>
      </c>
      <c r="G119" s="1" t="s">
        <v>32</v>
      </c>
    </row>
    <row r="120" spans="1:7" x14ac:dyDescent="0.3">
      <c r="A120" s="1" t="s">
        <v>345</v>
      </c>
      <c r="B120" s="4">
        <v>46260</v>
      </c>
      <c r="C120" s="1" t="s">
        <v>31</v>
      </c>
      <c r="D120" s="1" t="s">
        <v>155</v>
      </c>
      <c r="E120" s="1">
        <v>587.98</v>
      </c>
      <c r="F120" s="1">
        <v>52</v>
      </c>
      <c r="G120" s="1" t="s">
        <v>32</v>
      </c>
    </row>
    <row r="121" spans="1:7" x14ac:dyDescent="0.3">
      <c r="A121" s="1" t="s">
        <v>346</v>
      </c>
      <c r="B121" s="4">
        <v>46185</v>
      </c>
      <c r="C121" s="1" t="s">
        <v>45</v>
      </c>
      <c r="D121" s="1" t="s">
        <v>155</v>
      </c>
      <c r="E121" s="1">
        <v>1173.98</v>
      </c>
      <c r="F121" s="1">
        <v>42</v>
      </c>
      <c r="G121" s="1" t="s">
        <v>32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6" width="35" customWidth="1"/>
    <col min="7" max="7" width="13" customWidth="1"/>
  </cols>
  <sheetData>
    <row r="1" spans="1:7" x14ac:dyDescent="0.3">
      <c r="A1" s="1" t="s">
        <v>347</v>
      </c>
      <c r="B1" s="1"/>
      <c r="C1" s="1"/>
      <c r="D1" s="1"/>
      <c r="E1" s="1"/>
      <c r="F1" s="1"/>
      <c r="G1" s="1"/>
    </row>
    <row r="2" spans="1:7" x14ac:dyDescent="0.3">
      <c r="A2" s="1" t="s">
        <v>348</v>
      </c>
      <c r="B2" s="1" t="s">
        <v>349</v>
      </c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2" t="s">
        <v>23</v>
      </c>
      <c r="B4" s="2" t="s">
        <v>147</v>
      </c>
      <c r="C4" s="2" t="s">
        <v>151</v>
      </c>
      <c r="D4" s="2" t="s">
        <v>155</v>
      </c>
      <c r="E4" s="2" t="s">
        <v>159</v>
      </c>
      <c r="F4" s="2" t="s">
        <v>162</v>
      </c>
      <c r="G4" s="2"/>
    </row>
    <row r="5" spans="1:7" x14ac:dyDescent="0.3">
      <c r="A5" s="1" t="s">
        <v>31</v>
      </c>
      <c r="B5" s="1">
        <f>SUMIFS('Task 3 Orders'!$E$2:$E$121,'Task 3 Orders'!$C$2:$C$121,$A5,'Task 3 Orders'!$D$2:$D$121,B$4)</f>
        <v>3342.1200000000003</v>
      </c>
      <c r="C5" s="1">
        <f>SUMIFS('Task 3 Orders'!$E$2:$E$121,'Task 3 Orders'!$C$2:$C$121,$A5,'Task 3 Orders'!$D$2:$D$121,C$4)</f>
        <v>2282.8900000000003</v>
      </c>
      <c r="D5" s="1">
        <f>SUMIFS('Task 3 Orders'!$E$2:$E$121,'Task 3 Orders'!$C$2:$C$121,$A5,'Task 3 Orders'!$D$2:$D$121,D$4)</f>
        <v>4638.55</v>
      </c>
      <c r="E5" s="1">
        <f>SUMIFS('Task 3 Orders'!$E$2:$E$121,'Task 3 Orders'!$C$2:$C$121,$A5,'Task 3 Orders'!$D$2:$D$121,E$4)</f>
        <v>2105.9700000000003</v>
      </c>
      <c r="F5" s="1">
        <f>SUMIFS('Task 3 Orders'!$E$2:$E$121,'Task 3 Orders'!$C$2:$C$121,$A5,'Task 3 Orders'!$D$2:$D$121,F$4)</f>
        <v>3432.71</v>
      </c>
      <c r="G5" s="1">
        <f>SUM(B5:F5)</f>
        <v>15802.240000000002</v>
      </c>
    </row>
    <row r="6" spans="1:7" x14ac:dyDescent="0.3">
      <c r="A6" s="1" t="s">
        <v>35</v>
      </c>
      <c r="B6" s="1">
        <f>SUMIFS('Task 3 Orders'!$E$2:$E$121,'Task 3 Orders'!$C$2:$C$121,$A6,'Task 3 Orders'!$D$2:$D$121,B$4)</f>
        <v>4503.7</v>
      </c>
      <c r="C6" s="1">
        <f>SUMIFS('Task 3 Orders'!$E$2:$E$121,'Task 3 Orders'!$C$2:$C$121,$A6,'Task 3 Orders'!$D$2:$D$121,C$4)</f>
        <v>3175.68</v>
      </c>
      <c r="D6" s="1">
        <f>SUMIFS('Task 3 Orders'!$E$2:$E$121,'Task 3 Orders'!$C$2:$C$121,$A6,'Task 3 Orders'!$D$2:$D$121,D$4)</f>
        <v>8890.17</v>
      </c>
      <c r="E6" s="1">
        <f>SUMIFS('Task 3 Orders'!$E$2:$E$121,'Task 3 Orders'!$C$2:$C$121,$A6,'Task 3 Orders'!$D$2:$D$121,E$4)</f>
        <v>8197.92</v>
      </c>
      <c r="F6" s="1">
        <f>SUMIFS('Task 3 Orders'!$E$2:$E$121,'Task 3 Orders'!$C$2:$C$121,$A6,'Task 3 Orders'!$D$2:$D$121,F$4)</f>
        <v>3773.3900000000003</v>
      </c>
      <c r="G6" s="1">
        <f>SUM(B6:F6)</f>
        <v>28540.86</v>
      </c>
    </row>
    <row r="7" spans="1:7" x14ac:dyDescent="0.3">
      <c r="A7" s="1" t="s">
        <v>38</v>
      </c>
      <c r="B7" s="1">
        <f>SUMIFS('Task 3 Orders'!$E$2:$E$121,'Task 3 Orders'!$C$2:$C$121,$A7,'Task 3 Orders'!$D$2:$D$121,B$4)</f>
        <v>4803.0300000000007</v>
      </c>
      <c r="C7" s="1">
        <f>SUMIFS('Task 3 Orders'!$E$2:$E$121,'Task 3 Orders'!$C$2:$C$121,$A7,'Task 3 Orders'!$D$2:$D$121,C$4)</f>
        <v>5817.28</v>
      </c>
      <c r="D7" s="1">
        <f>SUMIFS('Task 3 Orders'!$E$2:$E$121,'Task 3 Orders'!$C$2:$C$121,$A7,'Task 3 Orders'!$D$2:$D$121,D$4)</f>
        <v>3597.75</v>
      </c>
      <c r="E7" s="1">
        <f>SUMIFS('Task 3 Orders'!$E$2:$E$121,'Task 3 Orders'!$C$2:$C$121,$A7,'Task 3 Orders'!$D$2:$D$121,E$4)</f>
        <v>3488.64</v>
      </c>
      <c r="F7" s="1">
        <f>SUMIFS('Task 3 Orders'!$E$2:$E$121,'Task 3 Orders'!$C$2:$C$121,$A7,'Task 3 Orders'!$D$2:$D$121,F$4)</f>
        <v>3001.5099999999998</v>
      </c>
      <c r="G7" s="1">
        <f>SUM(B7:F7)</f>
        <v>20708.21</v>
      </c>
    </row>
    <row r="8" spans="1:7" x14ac:dyDescent="0.3">
      <c r="A8" s="1" t="s">
        <v>41</v>
      </c>
      <c r="B8" s="1">
        <f>SUMIFS('Task 3 Orders'!$E$2:$E$121,'Task 3 Orders'!$C$2:$C$121,$A8,'Task 3 Orders'!$D$2:$D$121,B$4)</f>
        <v>1750.38</v>
      </c>
      <c r="C8" s="1">
        <f>SUMIFS('Task 3 Orders'!$E$2:$E$121,'Task 3 Orders'!$C$2:$C$121,$A8,'Task 3 Orders'!$D$2:$D$121,C$4)</f>
        <v>5336.68</v>
      </c>
      <c r="D8" s="1">
        <f>SUMIFS('Task 3 Orders'!$E$2:$E$121,'Task 3 Orders'!$C$2:$C$121,$A8,'Task 3 Orders'!$D$2:$D$121,D$4)</f>
        <v>1558.3899999999999</v>
      </c>
      <c r="E8" s="1">
        <f>SUMIFS('Task 3 Orders'!$E$2:$E$121,'Task 3 Orders'!$C$2:$C$121,$A8,'Task 3 Orders'!$D$2:$D$121,E$4)</f>
        <v>3478.91</v>
      </c>
      <c r="F8" s="1">
        <f>SUMIFS('Task 3 Orders'!$E$2:$E$121,'Task 3 Orders'!$C$2:$C$121,$A8,'Task 3 Orders'!$D$2:$D$121,F$4)</f>
        <v>3605.66</v>
      </c>
      <c r="G8" s="1">
        <f>SUM(B8:F8)</f>
        <v>15730.02</v>
      </c>
    </row>
    <row r="9" spans="1:7" x14ac:dyDescent="0.3">
      <c r="A9" s="1" t="s">
        <v>45</v>
      </c>
      <c r="B9" s="1">
        <f>SUMIFS('Task 3 Orders'!$E$2:$E$121,'Task 3 Orders'!$C$2:$C$121,$A9,'Task 3 Orders'!$D$2:$D$121,B$4)</f>
        <v>6863.61</v>
      </c>
      <c r="C9" s="1">
        <f>SUMIFS('Task 3 Orders'!$E$2:$E$121,'Task 3 Orders'!$C$2:$C$121,$A9,'Task 3 Orders'!$D$2:$D$121,C$4)</f>
        <v>1731.15</v>
      </c>
      <c r="D9" s="1">
        <f>SUMIFS('Task 3 Orders'!$E$2:$E$121,'Task 3 Orders'!$C$2:$C$121,$A9,'Task 3 Orders'!$D$2:$D$121,D$4)</f>
        <v>3275.71</v>
      </c>
      <c r="E9" s="1">
        <f>SUMIFS('Task 3 Orders'!$E$2:$E$121,'Task 3 Orders'!$C$2:$C$121,$A9,'Task 3 Orders'!$D$2:$D$121,E$4)</f>
        <v>6022.42</v>
      </c>
      <c r="F9" s="1">
        <f>SUMIFS('Task 3 Orders'!$E$2:$E$121,'Task 3 Orders'!$C$2:$C$121,$A9,'Task 3 Orders'!$D$2:$D$121,F$4)</f>
        <v>3150.3599999999997</v>
      </c>
      <c r="G9" s="1">
        <f>SUM(B9:F9)</f>
        <v>21043.25</v>
      </c>
    </row>
    <row r="10" spans="1:7" x14ac:dyDescent="0.3">
      <c r="A10" s="1" t="s">
        <v>350</v>
      </c>
      <c r="B10" s="1">
        <f t="shared" ref="B10:G10" si="0">SUM(B5:B9)</f>
        <v>21262.84</v>
      </c>
      <c r="C10" s="1">
        <f t="shared" si="0"/>
        <v>18343.68</v>
      </c>
      <c r="D10" s="1">
        <f t="shared" si="0"/>
        <v>21960.57</v>
      </c>
      <c r="E10" s="1">
        <f t="shared" si="0"/>
        <v>23293.86</v>
      </c>
      <c r="F10" s="1">
        <f t="shared" si="0"/>
        <v>16963.63</v>
      </c>
      <c r="G10" s="1">
        <f t="shared" si="0"/>
        <v>101824.58</v>
      </c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 t="s">
        <v>351</v>
      </c>
      <c r="B12" s="1">
        <f>SUM('Task 3 Orders'!E2:E121)/COUNTA('Task 3 Orders'!A2:A121)</f>
        <v>848.53816666666648</v>
      </c>
      <c r="C12" s="1"/>
      <c r="D12" s="1"/>
      <c r="E12" s="1"/>
      <c r="F12" s="1"/>
      <c r="G12" s="1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3" customWidth="1"/>
    <col min="4" max="4" width="10" customWidth="1"/>
    <col min="5" max="5" width="11" customWidth="1"/>
  </cols>
  <sheetData>
    <row r="1" spans="1:5" x14ac:dyDescent="0.3">
      <c r="A1" s="2" t="s">
        <v>352</v>
      </c>
      <c r="B1" s="2" t="s">
        <v>353</v>
      </c>
      <c r="C1" s="2" t="s">
        <v>354</v>
      </c>
      <c r="D1" s="1"/>
      <c r="E1" s="1" t="s">
        <v>355</v>
      </c>
    </row>
    <row r="2" spans="1:5" x14ac:dyDescent="0.3">
      <c r="A2" s="1" t="s">
        <v>356</v>
      </c>
      <c r="B2" s="1" t="s">
        <v>11</v>
      </c>
      <c r="C2" s="1">
        <v>40</v>
      </c>
      <c r="D2" s="1"/>
      <c r="E2" s="1" t="s">
        <v>24</v>
      </c>
    </row>
    <row r="3" spans="1:5" x14ac:dyDescent="0.3">
      <c r="A3" s="1" t="s">
        <v>357</v>
      </c>
      <c r="B3" s="1" t="s">
        <v>13</v>
      </c>
      <c r="C3" s="1">
        <v>45</v>
      </c>
      <c r="D3" s="1"/>
      <c r="E3" s="1"/>
    </row>
    <row r="4" spans="1:5" x14ac:dyDescent="0.3">
      <c r="A4" s="1" t="s">
        <v>358</v>
      </c>
      <c r="B4" s="1" t="s">
        <v>13</v>
      </c>
      <c r="C4" s="1">
        <v>35</v>
      </c>
      <c r="D4" s="1"/>
      <c r="E4" s="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2" max="2" width="90" customWidth="1"/>
  </cols>
  <sheetData>
    <row r="1" spans="1:2" x14ac:dyDescent="0.3">
      <c r="A1" s="2" t="s">
        <v>359</v>
      </c>
      <c r="B1" s="2" t="s">
        <v>360</v>
      </c>
    </row>
    <row r="2" spans="1:2" x14ac:dyDescent="0.3">
      <c r="A2" s="1" t="s">
        <v>361</v>
      </c>
      <c r="B2" s="1" t="s">
        <v>362</v>
      </c>
    </row>
    <row r="3" spans="1:2" x14ac:dyDescent="0.3">
      <c r="A3" s="1" t="s">
        <v>355</v>
      </c>
      <c r="B3" s="1" t="s">
        <v>363</v>
      </c>
    </row>
    <row r="4" spans="1:2" x14ac:dyDescent="0.3">
      <c r="A4" s="1" t="s">
        <v>364</v>
      </c>
      <c r="B4" s="1" t="s">
        <v>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0" x14ac:dyDescent="0.3">
      <c r="A1" s="2" t="s">
        <v>21</v>
      </c>
      <c r="B1" s="2" t="s">
        <v>24</v>
      </c>
      <c r="C1" s="2" t="s">
        <v>23</v>
      </c>
      <c r="D1" s="2" t="s">
        <v>142</v>
      </c>
      <c r="E1" s="2" t="s">
        <v>27</v>
      </c>
      <c r="F1" s="2" t="s">
        <v>25</v>
      </c>
      <c r="G1" s="2" t="s">
        <v>26</v>
      </c>
      <c r="H1" s="2" t="s">
        <v>28</v>
      </c>
      <c r="I1" s="2" t="s">
        <v>366</v>
      </c>
      <c r="J1" s="2"/>
    </row>
    <row r="2" spans="1:10" x14ac:dyDescent="0.3">
      <c r="A2" s="1" t="s">
        <v>227</v>
      </c>
      <c r="B2" s="1" t="s">
        <v>145</v>
      </c>
      <c r="C2" s="1" t="s">
        <v>38</v>
      </c>
      <c r="D2" s="1" t="s">
        <v>147</v>
      </c>
      <c r="E2" s="4">
        <v>46174</v>
      </c>
      <c r="F2" s="1">
        <v>18</v>
      </c>
      <c r="G2" s="1">
        <v>5</v>
      </c>
      <c r="H2" s="1">
        <v>591.36</v>
      </c>
      <c r="I2" s="1" t="e">
        <f ca="1">IF(OR(F2&lt;'Stats Summary'!$B$10,F2&gt;'Stats Summary'!$B$11),"Yes","No")</f>
        <v>#NAME?</v>
      </c>
      <c r="J2" s="1"/>
    </row>
    <row r="3" spans="1:10" x14ac:dyDescent="0.3">
      <c r="A3" s="1" t="s">
        <v>228</v>
      </c>
      <c r="B3" s="1" t="s">
        <v>160</v>
      </c>
      <c r="C3" s="1" t="s">
        <v>45</v>
      </c>
      <c r="D3" s="1" t="s">
        <v>162</v>
      </c>
      <c r="E3" s="4">
        <v>46182</v>
      </c>
      <c r="F3" s="1">
        <v>47</v>
      </c>
      <c r="G3" s="1">
        <v>3.8</v>
      </c>
      <c r="H3" s="1">
        <v>393.81</v>
      </c>
      <c r="I3" s="1" t="e">
        <f ca="1">IF(OR(F3&lt;'Stats Summary'!$B$10,F3&gt;'Stats Summary'!$B$11),"Yes","No")</f>
        <v>#NAME?</v>
      </c>
      <c r="J3" s="1"/>
    </row>
    <row r="4" spans="1:10" x14ac:dyDescent="0.3">
      <c r="A4" s="1" t="s">
        <v>229</v>
      </c>
      <c r="B4" s="1" t="s">
        <v>157</v>
      </c>
      <c r="C4" s="1" t="s">
        <v>38</v>
      </c>
      <c r="D4" s="1" t="s">
        <v>159</v>
      </c>
      <c r="E4" s="4">
        <v>46258</v>
      </c>
      <c r="F4" s="1">
        <v>22</v>
      </c>
      <c r="G4" s="1">
        <v>4.3</v>
      </c>
      <c r="H4" s="1">
        <v>1024.3</v>
      </c>
      <c r="I4" s="1" t="e">
        <f ca="1">IF(OR(F4&lt;'Stats Summary'!$B$10,F4&gt;'Stats Summary'!$B$11),"Yes","No")</f>
        <v>#NAME?</v>
      </c>
      <c r="J4" s="1"/>
    </row>
    <row r="5" spans="1:10" x14ac:dyDescent="0.3">
      <c r="A5" s="1" t="s">
        <v>230</v>
      </c>
      <c r="B5" s="1" t="s">
        <v>173</v>
      </c>
      <c r="C5" s="1" t="s">
        <v>45</v>
      </c>
      <c r="D5" s="1" t="s">
        <v>147</v>
      </c>
      <c r="E5" s="4">
        <v>46191</v>
      </c>
      <c r="F5" s="1">
        <v>25</v>
      </c>
      <c r="G5" s="1">
        <v>3.6</v>
      </c>
      <c r="H5" s="1">
        <v>1229.33</v>
      </c>
      <c r="I5" s="1" t="e">
        <f ca="1">IF(OR(F5&lt;'Stats Summary'!$B$10,F5&gt;'Stats Summary'!$B$11),"Yes","No")</f>
        <v>#NAME?</v>
      </c>
      <c r="J5" s="1"/>
    </row>
    <row r="6" spans="1:10" x14ac:dyDescent="0.3">
      <c r="A6" s="1" t="s">
        <v>231</v>
      </c>
      <c r="B6" s="1" t="s">
        <v>149</v>
      </c>
      <c r="C6" s="1" t="s">
        <v>35</v>
      </c>
      <c r="D6" s="1" t="s">
        <v>151</v>
      </c>
      <c r="E6" s="4">
        <v>46205</v>
      </c>
      <c r="F6" s="1">
        <v>55</v>
      </c>
      <c r="G6" s="1">
        <v>4.3</v>
      </c>
      <c r="H6" s="1">
        <v>920.72</v>
      </c>
      <c r="I6" s="1" t="e">
        <f ca="1">IF(OR(F6&lt;'Stats Summary'!$B$10,F6&gt;'Stats Summary'!$B$11),"Yes","No")</f>
        <v>#NAME?</v>
      </c>
      <c r="J6" s="1"/>
    </row>
    <row r="7" spans="1:10" x14ac:dyDescent="0.3">
      <c r="A7" s="1" t="s">
        <v>232</v>
      </c>
      <c r="B7" s="1" t="s">
        <v>149</v>
      </c>
      <c r="C7" s="1" t="s">
        <v>31</v>
      </c>
      <c r="D7" s="1" t="s">
        <v>151</v>
      </c>
      <c r="E7" s="4">
        <v>46194</v>
      </c>
      <c r="F7" s="1">
        <v>19</v>
      </c>
      <c r="G7" s="1">
        <v>3.9</v>
      </c>
      <c r="H7" s="1">
        <v>886.44</v>
      </c>
      <c r="I7" s="1" t="e">
        <f ca="1">IF(OR(F7&lt;'Stats Summary'!$B$10,F7&gt;'Stats Summary'!$B$11),"Yes","No")</f>
        <v>#NAME?</v>
      </c>
      <c r="J7" s="1"/>
    </row>
    <row r="8" spans="1:10" x14ac:dyDescent="0.3">
      <c r="A8" s="1" t="s">
        <v>233</v>
      </c>
      <c r="B8" s="1" t="s">
        <v>171</v>
      </c>
      <c r="C8" s="1" t="s">
        <v>35</v>
      </c>
      <c r="D8" s="1" t="s">
        <v>162</v>
      </c>
      <c r="E8" s="4">
        <v>46222</v>
      </c>
      <c r="F8" s="1">
        <v>27</v>
      </c>
      <c r="G8" s="1">
        <v>4.0999999999999996</v>
      </c>
      <c r="H8" s="1">
        <v>483.95</v>
      </c>
      <c r="I8" s="1" t="e">
        <f ca="1">IF(OR(F8&lt;'Stats Summary'!$B$10,F8&gt;'Stats Summary'!$B$11),"Yes","No")</f>
        <v>#NAME?</v>
      </c>
      <c r="J8" s="1"/>
    </row>
    <row r="9" spans="1:10" x14ac:dyDescent="0.3">
      <c r="A9" s="1" t="s">
        <v>234</v>
      </c>
      <c r="B9" s="1" t="s">
        <v>177</v>
      </c>
      <c r="C9" s="1" t="s">
        <v>35</v>
      </c>
      <c r="D9" s="1" t="s">
        <v>155</v>
      </c>
      <c r="E9" s="4">
        <v>46265</v>
      </c>
      <c r="F9" s="1">
        <v>42</v>
      </c>
      <c r="G9" s="1">
        <v>4.2</v>
      </c>
      <c r="H9" s="1">
        <v>1392.7</v>
      </c>
      <c r="I9" s="1" t="e">
        <f ca="1">IF(OR(F9&lt;'Stats Summary'!$B$10,F9&gt;'Stats Summary'!$B$11),"Yes","No")</f>
        <v>#NAME?</v>
      </c>
      <c r="J9" s="1"/>
    </row>
    <row r="10" spans="1:10" x14ac:dyDescent="0.3">
      <c r="A10" s="1" t="s">
        <v>235</v>
      </c>
      <c r="B10" s="1" t="s">
        <v>153</v>
      </c>
      <c r="C10" s="1" t="s">
        <v>45</v>
      </c>
      <c r="D10" s="1" t="s">
        <v>155</v>
      </c>
      <c r="E10" s="4">
        <v>46236</v>
      </c>
      <c r="F10" s="1">
        <v>42</v>
      </c>
      <c r="G10" s="1">
        <v>3.9</v>
      </c>
      <c r="H10" s="1">
        <v>1799.1</v>
      </c>
      <c r="I10" s="1" t="e">
        <f ca="1">IF(OR(F10&lt;'Stats Summary'!$B$10,F10&gt;'Stats Summary'!$B$11),"Yes","No")</f>
        <v>#NAME?</v>
      </c>
      <c r="J10" s="1"/>
    </row>
    <row r="11" spans="1:10" x14ac:dyDescent="0.3">
      <c r="A11" s="1" t="s">
        <v>236</v>
      </c>
      <c r="B11" s="1" t="s">
        <v>160</v>
      </c>
      <c r="C11" s="1" t="s">
        <v>45</v>
      </c>
      <c r="D11" s="1" t="s">
        <v>162</v>
      </c>
      <c r="E11" s="4">
        <v>46209</v>
      </c>
      <c r="F11" s="1">
        <v>41</v>
      </c>
      <c r="G11" s="1">
        <v>3.1</v>
      </c>
      <c r="H11" s="1">
        <v>405.49</v>
      </c>
      <c r="I11" s="1" t="e">
        <f ca="1">IF(OR(F11&lt;'Stats Summary'!$B$10,F11&gt;'Stats Summary'!$B$11),"Yes","No")</f>
        <v>#NAME?</v>
      </c>
      <c r="J11" s="1"/>
    </row>
    <row r="12" spans="1:10" x14ac:dyDescent="0.3">
      <c r="A12" s="1" t="s">
        <v>237</v>
      </c>
      <c r="B12" s="1" t="s">
        <v>145</v>
      </c>
      <c r="C12" s="1" t="s">
        <v>45</v>
      </c>
      <c r="D12" s="1" t="s">
        <v>147</v>
      </c>
      <c r="E12" s="4">
        <v>46180</v>
      </c>
      <c r="F12" s="1">
        <v>40</v>
      </c>
      <c r="G12" s="1">
        <v>4</v>
      </c>
      <c r="H12" s="1">
        <v>1398.34</v>
      </c>
      <c r="I12" s="1" t="e">
        <f ca="1">IF(OR(F12&lt;'Stats Summary'!$B$10,F12&gt;'Stats Summary'!$B$11),"Yes","No")</f>
        <v>#NAME?</v>
      </c>
      <c r="J12" s="1"/>
    </row>
    <row r="13" spans="1:10" x14ac:dyDescent="0.3">
      <c r="A13" s="1" t="s">
        <v>238</v>
      </c>
      <c r="B13" s="1" t="s">
        <v>145</v>
      </c>
      <c r="C13" s="1" t="s">
        <v>35</v>
      </c>
      <c r="D13" s="1" t="s">
        <v>147</v>
      </c>
      <c r="E13" s="4">
        <v>46256</v>
      </c>
      <c r="F13" s="1">
        <v>62</v>
      </c>
      <c r="G13" s="1">
        <v>3</v>
      </c>
      <c r="H13" s="1">
        <v>469.43</v>
      </c>
      <c r="I13" s="1" t="e">
        <f ca="1">IF(OR(F13&lt;'Stats Summary'!$B$10,F13&gt;'Stats Summary'!$B$11),"Yes","No")</f>
        <v>#NAME?</v>
      </c>
      <c r="J13" s="1"/>
    </row>
    <row r="14" spans="1:10" x14ac:dyDescent="0.3">
      <c r="A14" s="1" t="s">
        <v>239</v>
      </c>
      <c r="B14" s="1" t="s">
        <v>179</v>
      </c>
      <c r="C14" s="1" t="s">
        <v>31</v>
      </c>
      <c r="D14" s="1" t="s">
        <v>159</v>
      </c>
      <c r="E14" s="4">
        <v>46208</v>
      </c>
      <c r="F14" s="1">
        <v>33</v>
      </c>
      <c r="G14" s="1">
        <v>3.8</v>
      </c>
      <c r="H14" s="1">
        <v>1150.9000000000001</v>
      </c>
      <c r="I14" s="1" t="e">
        <f ca="1">IF(OR(F14&lt;'Stats Summary'!$B$10,F14&gt;'Stats Summary'!$B$11),"Yes","No")</f>
        <v>#NAME?</v>
      </c>
      <c r="J14" s="1"/>
    </row>
    <row r="15" spans="1:10" x14ac:dyDescent="0.3">
      <c r="A15" s="1" t="s">
        <v>240</v>
      </c>
      <c r="B15" s="1" t="s">
        <v>171</v>
      </c>
      <c r="C15" s="1" t="s">
        <v>45</v>
      </c>
      <c r="D15" s="1" t="s">
        <v>162</v>
      </c>
      <c r="E15" s="4">
        <v>46248</v>
      </c>
      <c r="F15" s="1">
        <v>26</v>
      </c>
      <c r="G15" s="1">
        <v>4.3</v>
      </c>
      <c r="H15" s="1">
        <v>889.4</v>
      </c>
      <c r="I15" s="1" t="e">
        <f ca="1">IF(OR(F15&lt;'Stats Summary'!$B$10,F15&gt;'Stats Summary'!$B$11),"Yes","No")</f>
        <v>#NAME?</v>
      </c>
      <c r="J15" s="1"/>
    </row>
    <row r="16" spans="1:10" x14ac:dyDescent="0.3">
      <c r="A16" s="1" t="s">
        <v>241</v>
      </c>
      <c r="B16" s="1" t="s">
        <v>177</v>
      </c>
      <c r="C16" s="1" t="s">
        <v>45</v>
      </c>
      <c r="D16" s="1" t="s">
        <v>155</v>
      </c>
      <c r="E16" s="4">
        <v>46206</v>
      </c>
      <c r="F16" s="1">
        <v>40</v>
      </c>
      <c r="G16" s="1">
        <v>4.2</v>
      </c>
      <c r="H16" s="1">
        <v>302.63</v>
      </c>
      <c r="I16" s="1" t="e">
        <f ca="1">IF(OR(F16&lt;'Stats Summary'!$B$10,F16&gt;'Stats Summary'!$B$11),"Yes","No")</f>
        <v>#NAME?</v>
      </c>
      <c r="J16" s="1"/>
    </row>
    <row r="17" spans="1:10" x14ac:dyDescent="0.3">
      <c r="A17" s="1" t="s">
        <v>242</v>
      </c>
      <c r="B17" s="1" t="s">
        <v>165</v>
      </c>
      <c r="C17" s="1" t="s">
        <v>41</v>
      </c>
      <c r="D17" s="1" t="s">
        <v>151</v>
      </c>
      <c r="E17" s="4">
        <v>46231</v>
      </c>
      <c r="F17" s="1">
        <v>15</v>
      </c>
      <c r="G17" s="1">
        <v>3.8</v>
      </c>
      <c r="H17" s="1">
        <v>762.31</v>
      </c>
      <c r="I17" s="1" t="e">
        <f ca="1">IF(OR(F17&lt;'Stats Summary'!$B$10,F17&gt;'Stats Summary'!$B$11),"Yes","No")</f>
        <v>#NAME?</v>
      </c>
      <c r="J17" s="1"/>
    </row>
    <row r="18" spans="1:10" x14ac:dyDescent="0.3">
      <c r="A18" s="1" t="s">
        <v>243</v>
      </c>
      <c r="B18" s="1" t="s">
        <v>179</v>
      </c>
      <c r="C18" s="1" t="s">
        <v>45</v>
      </c>
      <c r="D18" s="1" t="s">
        <v>159</v>
      </c>
      <c r="E18" s="4">
        <v>46227</v>
      </c>
      <c r="F18" s="1">
        <v>31</v>
      </c>
      <c r="G18" s="1">
        <v>3.9</v>
      </c>
      <c r="H18" s="1">
        <v>241.56</v>
      </c>
      <c r="I18" s="1" t="e">
        <f ca="1">IF(OR(F18&lt;'Stats Summary'!$B$10,F18&gt;'Stats Summary'!$B$11),"Yes","No")</f>
        <v>#NAME?</v>
      </c>
      <c r="J18" s="1"/>
    </row>
    <row r="19" spans="1:10" x14ac:dyDescent="0.3">
      <c r="A19" s="1" t="s">
        <v>244</v>
      </c>
      <c r="B19" s="1" t="s">
        <v>179</v>
      </c>
      <c r="C19" s="1" t="s">
        <v>45</v>
      </c>
      <c r="D19" s="1" t="s">
        <v>159</v>
      </c>
      <c r="E19" s="4">
        <v>46255</v>
      </c>
      <c r="F19" s="1">
        <v>41</v>
      </c>
      <c r="G19" s="1">
        <v>4.7</v>
      </c>
      <c r="H19" s="1">
        <v>211.9</v>
      </c>
      <c r="I19" s="1" t="e">
        <f ca="1">IF(OR(F19&lt;'Stats Summary'!$B$10,F19&gt;'Stats Summary'!$B$11),"Yes","No")</f>
        <v>#NAME?</v>
      </c>
      <c r="J19" s="1"/>
    </row>
    <row r="20" spans="1:10" x14ac:dyDescent="0.3">
      <c r="A20" s="1" t="s">
        <v>245</v>
      </c>
      <c r="B20" s="1" t="s">
        <v>177</v>
      </c>
      <c r="C20" s="1" t="s">
        <v>35</v>
      </c>
      <c r="D20" s="1" t="s">
        <v>155</v>
      </c>
      <c r="E20" s="4">
        <v>46209</v>
      </c>
      <c r="F20" s="1">
        <v>19</v>
      </c>
      <c r="G20" s="1">
        <v>3.6</v>
      </c>
      <c r="H20" s="1">
        <v>196</v>
      </c>
      <c r="I20" s="1" t="e">
        <f ca="1">IF(OR(F20&lt;'Stats Summary'!$B$10,F20&gt;'Stats Summary'!$B$11),"Yes","No")</f>
        <v>#NAME?</v>
      </c>
      <c r="J20" s="1"/>
    </row>
    <row r="21" spans="1:10" x14ac:dyDescent="0.3">
      <c r="A21" s="1" t="s">
        <v>246</v>
      </c>
      <c r="B21" s="1" t="s">
        <v>149</v>
      </c>
      <c r="C21" s="1" t="s">
        <v>41</v>
      </c>
      <c r="D21" s="1" t="s">
        <v>151</v>
      </c>
      <c r="E21" s="4">
        <v>46255</v>
      </c>
      <c r="F21" s="1">
        <v>36</v>
      </c>
      <c r="G21" s="1">
        <v>4.0999999999999996</v>
      </c>
      <c r="H21" s="1">
        <v>630.58000000000004</v>
      </c>
      <c r="I21" s="1" t="e">
        <f ca="1">IF(OR(F21&lt;'Stats Summary'!$B$10,F21&gt;'Stats Summary'!$B$11),"Yes","No")</f>
        <v>#NAME?</v>
      </c>
      <c r="J21" s="1"/>
    </row>
    <row r="22" spans="1:10" x14ac:dyDescent="0.3">
      <c r="A22" s="1" t="s">
        <v>247</v>
      </c>
      <c r="B22" s="1" t="s">
        <v>157</v>
      </c>
      <c r="C22" s="1" t="s">
        <v>38</v>
      </c>
      <c r="D22" s="1" t="s">
        <v>159</v>
      </c>
      <c r="E22" s="4">
        <v>46203</v>
      </c>
      <c r="F22" s="1">
        <v>48</v>
      </c>
      <c r="G22" s="1">
        <v>4.7</v>
      </c>
      <c r="H22" s="1">
        <v>785.35</v>
      </c>
      <c r="I22" s="1" t="e">
        <f ca="1">IF(OR(F22&lt;'Stats Summary'!$B$10,F22&gt;'Stats Summary'!$B$11),"Yes","No")</f>
        <v>#NAME?</v>
      </c>
      <c r="J22" s="1"/>
    </row>
    <row r="23" spans="1:10" x14ac:dyDescent="0.3">
      <c r="A23" s="1" t="s">
        <v>248</v>
      </c>
      <c r="B23" s="1" t="s">
        <v>160</v>
      </c>
      <c r="C23" s="1" t="s">
        <v>31</v>
      </c>
      <c r="D23" s="1" t="s">
        <v>162</v>
      </c>
      <c r="E23" s="4">
        <v>46236</v>
      </c>
      <c r="F23" s="1">
        <v>36</v>
      </c>
      <c r="G23" s="1">
        <v>4.9000000000000004</v>
      </c>
      <c r="H23" s="1">
        <v>563.64</v>
      </c>
      <c r="I23" s="1" t="e">
        <f ca="1">IF(OR(F23&lt;'Stats Summary'!$B$10,F23&gt;'Stats Summary'!$B$11),"Yes","No")</f>
        <v>#NAME?</v>
      </c>
      <c r="J23" s="1"/>
    </row>
    <row r="24" spans="1:10" x14ac:dyDescent="0.3">
      <c r="A24" s="1" t="s">
        <v>249</v>
      </c>
      <c r="B24" s="1" t="s">
        <v>145</v>
      </c>
      <c r="C24" s="1" t="s">
        <v>35</v>
      </c>
      <c r="D24" s="1" t="s">
        <v>147</v>
      </c>
      <c r="E24" s="4">
        <v>46189</v>
      </c>
      <c r="F24" s="1">
        <v>40</v>
      </c>
      <c r="G24" s="1">
        <v>3.9</v>
      </c>
      <c r="H24" s="1">
        <v>1341.38</v>
      </c>
      <c r="I24" s="1" t="e">
        <f ca="1">IF(OR(F24&lt;'Stats Summary'!$B$10,F24&gt;'Stats Summary'!$B$11),"Yes","No")</f>
        <v>#NAME?</v>
      </c>
      <c r="J24" s="1"/>
    </row>
    <row r="25" spans="1:10" x14ac:dyDescent="0.3">
      <c r="A25" s="1" t="s">
        <v>250</v>
      </c>
      <c r="B25" s="1" t="s">
        <v>179</v>
      </c>
      <c r="C25" s="1" t="s">
        <v>35</v>
      </c>
      <c r="D25" s="1" t="s">
        <v>159</v>
      </c>
      <c r="E25" s="4">
        <v>46235</v>
      </c>
      <c r="F25" s="1">
        <v>38</v>
      </c>
      <c r="G25" s="1">
        <v>4.5999999999999996</v>
      </c>
      <c r="H25" s="1">
        <v>1658.76</v>
      </c>
      <c r="I25" s="1" t="e">
        <f ca="1">IF(OR(F25&lt;'Stats Summary'!$B$10,F25&gt;'Stats Summary'!$B$11),"Yes","No")</f>
        <v>#NAME?</v>
      </c>
      <c r="J25" s="1"/>
    </row>
    <row r="26" spans="1:10" x14ac:dyDescent="0.3">
      <c r="A26" s="1" t="s">
        <v>251</v>
      </c>
      <c r="B26" s="1" t="s">
        <v>145</v>
      </c>
      <c r="C26" s="1" t="s">
        <v>41</v>
      </c>
      <c r="D26" s="1" t="s">
        <v>147</v>
      </c>
      <c r="E26" s="4">
        <v>46216</v>
      </c>
      <c r="F26" s="1">
        <v>34</v>
      </c>
      <c r="G26" s="1">
        <v>4.8</v>
      </c>
      <c r="H26" s="1">
        <v>807.02</v>
      </c>
      <c r="I26" s="1" t="e">
        <f ca="1">IF(OR(F26&lt;'Stats Summary'!$B$10,F26&gt;'Stats Summary'!$B$11),"Yes","No")</f>
        <v>#NAME?</v>
      </c>
      <c r="J26" s="1"/>
    </row>
    <row r="27" spans="1:10" x14ac:dyDescent="0.3">
      <c r="A27" s="1" t="s">
        <v>252</v>
      </c>
      <c r="B27" s="1" t="s">
        <v>175</v>
      </c>
      <c r="C27" s="1" t="s">
        <v>35</v>
      </c>
      <c r="D27" s="1" t="s">
        <v>151</v>
      </c>
      <c r="E27" s="4">
        <v>46219</v>
      </c>
      <c r="F27" s="1">
        <v>43</v>
      </c>
      <c r="G27" s="1">
        <v>4.2</v>
      </c>
      <c r="H27" s="1">
        <v>385.53</v>
      </c>
      <c r="I27" s="1" t="e">
        <f ca="1">IF(OR(F27&lt;'Stats Summary'!$B$10,F27&gt;'Stats Summary'!$B$11),"Yes","No")</f>
        <v>#NAME?</v>
      </c>
      <c r="J27" s="1"/>
    </row>
    <row r="28" spans="1:10" x14ac:dyDescent="0.3">
      <c r="A28" s="1" t="s">
        <v>253</v>
      </c>
      <c r="B28" s="1" t="s">
        <v>149</v>
      </c>
      <c r="C28" s="1" t="s">
        <v>45</v>
      </c>
      <c r="D28" s="1" t="s">
        <v>151</v>
      </c>
      <c r="E28" s="4">
        <v>46197</v>
      </c>
      <c r="F28" s="1">
        <v>40</v>
      </c>
      <c r="G28" s="1">
        <v>4.3</v>
      </c>
      <c r="H28" s="1">
        <v>390.74</v>
      </c>
      <c r="I28" s="1" t="e">
        <f ca="1">IF(OR(F28&lt;'Stats Summary'!$B$10,F28&gt;'Stats Summary'!$B$11),"Yes","No")</f>
        <v>#NAME?</v>
      </c>
      <c r="J28" s="1"/>
    </row>
    <row r="29" spans="1:10" x14ac:dyDescent="0.3">
      <c r="A29" s="1" t="s">
        <v>254</v>
      </c>
      <c r="B29" s="1" t="s">
        <v>157</v>
      </c>
      <c r="C29" s="1" t="s">
        <v>45</v>
      </c>
      <c r="D29" s="1" t="s">
        <v>159</v>
      </c>
      <c r="E29" s="4">
        <v>46190</v>
      </c>
      <c r="F29" s="1">
        <v>36</v>
      </c>
      <c r="G29" s="1">
        <v>4.4000000000000004</v>
      </c>
      <c r="H29" s="1">
        <v>1584.09</v>
      </c>
      <c r="I29" s="1" t="e">
        <f ca="1">IF(OR(F29&lt;'Stats Summary'!$B$10,F29&gt;'Stats Summary'!$B$11),"Yes","No")</f>
        <v>#NAME?</v>
      </c>
      <c r="J29" s="1"/>
    </row>
    <row r="30" spans="1:10" x14ac:dyDescent="0.3">
      <c r="A30" s="1" t="s">
        <v>255</v>
      </c>
      <c r="B30" s="1" t="s">
        <v>169</v>
      </c>
      <c r="C30" s="1" t="s">
        <v>41</v>
      </c>
      <c r="D30" s="1" t="s">
        <v>159</v>
      </c>
      <c r="E30" s="4">
        <v>46216</v>
      </c>
      <c r="F30" s="1">
        <v>23</v>
      </c>
      <c r="G30" s="1">
        <v>3.7</v>
      </c>
      <c r="H30" s="1">
        <v>1006.3</v>
      </c>
      <c r="I30" s="1" t="e">
        <f ca="1">IF(OR(F30&lt;'Stats Summary'!$B$10,F30&gt;'Stats Summary'!$B$11),"Yes","No")</f>
        <v>#NAME?</v>
      </c>
      <c r="J30" s="1"/>
    </row>
    <row r="31" spans="1:10" x14ac:dyDescent="0.3">
      <c r="A31" s="1" t="s">
        <v>256</v>
      </c>
      <c r="B31" s="1" t="s">
        <v>149</v>
      </c>
      <c r="C31" s="1" t="s">
        <v>38</v>
      </c>
      <c r="D31" s="1" t="s">
        <v>151</v>
      </c>
      <c r="E31" s="4">
        <v>46174</v>
      </c>
      <c r="F31" s="1">
        <v>38</v>
      </c>
      <c r="G31" s="1">
        <v>4.5</v>
      </c>
      <c r="H31" s="1">
        <v>1564.32</v>
      </c>
      <c r="I31" s="1" t="e">
        <f ca="1">IF(OR(F31&lt;'Stats Summary'!$B$10,F31&gt;'Stats Summary'!$B$11),"Yes","No")</f>
        <v>#NAME?</v>
      </c>
      <c r="J31" s="1"/>
    </row>
    <row r="32" spans="1:10" x14ac:dyDescent="0.3">
      <c r="A32" s="1" t="s">
        <v>257</v>
      </c>
      <c r="B32" s="1" t="s">
        <v>175</v>
      </c>
      <c r="C32" s="1" t="s">
        <v>41</v>
      </c>
      <c r="D32" s="1" t="s">
        <v>151</v>
      </c>
      <c r="E32" s="4">
        <v>46202</v>
      </c>
      <c r="F32" s="1">
        <v>36</v>
      </c>
      <c r="G32" s="1">
        <v>4.8</v>
      </c>
      <c r="H32" s="1">
        <v>1322.5</v>
      </c>
      <c r="I32" s="1" t="e">
        <f ca="1">IF(OR(F32&lt;'Stats Summary'!$B$10,F32&gt;'Stats Summary'!$B$11),"Yes","No")</f>
        <v>#NAME?</v>
      </c>
      <c r="J32" s="1"/>
    </row>
    <row r="33" spans="1:10" x14ac:dyDescent="0.3">
      <c r="A33" s="1" t="s">
        <v>258</v>
      </c>
      <c r="B33" s="1" t="s">
        <v>167</v>
      </c>
      <c r="C33" s="1" t="s">
        <v>41</v>
      </c>
      <c r="D33" s="1" t="s">
        <v>155</v>
      </c>
      <c r="E33" s="4">
        <v>46205</v>
      </c>
      <c r="F33" s="1">
        <v>18</v>
      </c>
      <c r="G33" s="1">
        <v>4.0999999999999996</v>
      </c>
      <c r="H33" s="1">
        <v>715.71</v>
      </c>
      <c r="I33" s="1" t="e">
        <f ca="1">IF(OR(F33&lt;'Stats Summary'!$B$10,F33&gt;'Stats Summary'!$B$11),"Yes","No")</f>
        <v>#NAME?</v>
      </c>
      <c r="J33" s="1"/>
    </row>
    <row r="34" spans="1:10" x14ac:dyDescent="0.3">
      <c r="A34" s="1" t="s">
        <v>259</v>
      </c>
      <c r="B34" s="1" t="s">
        <v>165</v>
      </c>
      <c r="C34" s="1" t="s">
        <v>35</v>
      </c>
      <c r="D34" s="1" t="s">
        <v>151</v>
      </c>
      <c r="E34" s="4">
        <v>46256</v>
      </c>
      <c r="F34" s="1">
        <v>8</v>
      </c>
      <c r="G34" s="1">
        <v>5</v>
      </c>
      <c r="H34" s="1">
        <v>389.01</v>
      </c>
      <c r="I34" s="1" t="e">
        <f ca="1">IF(OR(F34&lt;'Stats Summary'!$B$10,F34&gt;'Stats Summary'!$B$11),"Yes","No")</f>
        <v>#NAME?</v>
      </c>
      <c r="J34" s="1"/>
    </row>
    <row r="35" spans="1:10" x14ac:dyDescent="0.3">
      <c r="A35" s="1" t="s">
        <v>260</v>
      </c>
      <c r="B35" s="1" t="s">
        <v>160</v>
      </c>
      <c r="C35" s="1" t="s">
        <v>35</v>
      </c>
      <c r="D35" s="1" t="s">
        <v>162</v>
      </c>
      <c r="E35" s="4">
        <v>46189</v>
      </c>
      <c r="F35" s="1">
        <v>39</v>
      </c>
      <c r="G35" s="1">
        <v>4.4000000000000004</v>
      </c>
      <c r="H35" s="1">
        <v>257.70999999999998</v>
      </c>
      <c r="I35" s="1" t="e">
        <f ca="1">IF(OR(F35&lt;'Stats Summary'!$B$10,F35&gt;'Stats Summary'!$B$11),"Yes","No")</f>
        <v>#NAME?</v>
      </c>
      <c r="J35" s="1"/>
    </row>
    <row r="36" spans="1:10" x14ac:dyDescent="0.3">
      <c r="A36" s="1" t="s">
        <v>261</v>
      </c>
      <c r="B36" s="1" t="s">
        <v>157</v>
      </c>
      <c r="C36" s="1" t="s">
        <v>45</v>
      </c>
      <c r="D36" s="1" t="s">
        <v>159</v>
      </c>
      <c r="E36" s="4">
        <v>46200</v>
      </c>
      <c r="F36" s="1">
        <v>18</v>
      </c>
      <c r="G36" s="1">
        <v>5</v>
      </c>
      <c r="H36" s="1">
        <v>1758.65</v>
      </c>
      <c r="I36" s="1" t="e">
        <f ca="1">IF(OR(F36&lt;'Stats Summary'!$B$10,F36&gt;'Stats Summary'!$B$11),"Yes","No")</f>
        <v>#NAME?</v>
      </c>
      <c r="J36" s="1"/>
    </row>
    <row r="37" spans="1:10" x14ac:dyDescent="0.3">
      <c r="A37" s="1" t="s">
        <v>262</v>
      </c>
      <c r="B37" s="1" t="s">
        <v>173</v>
      </c>
      <c r="C37" s="1" t="s">
        <v>35</v>
      </c>
      <c r="D37" s="1" t="s">
        <v>147</v>
      </c>
      <c r="E37" s="4">
        <v>46200</v>
      </c>
      <c r="F37" s="1">
        <v>41</v>
      </c>
      <c r="G37" s="1">
        <v>3.1</v>
      </c>
      <c r="H37" s="1">
        <v>626.86</v>
      </c>
      <c r="I37" s="1" t="e">
        <f ca="1">IF(OR(F37&lt;'Stats Summary'!$B$10,F37&gt;'Stats Summary'!$B$11),"Yes","No")</f>
        <v>#NAME?</v>
      </c>
      <c r="J37" s="1"/>
    </row>
    <row r="38" spans="1:10" x14ac:dyDescent="0.3">
      <c r="A38" s="1" t="s">
        <v>263</v>
      </c>
      <c r="B38" s="1" t="s">
        <v>149</v>
      </c>
      <c r="C38" s="1" t="s">
        <v>38</v>
      </c>
      <c r="D38" s="1" t="s">
        <v>151</v>
      </c>
      <c r="E38" s="4">
        <v>46226</v>
      </c>
      <c r="F38" s="1">
        <v>28</v>
      </c>
      <c r="G38" s="1">
        <v>3.5</v>
      </c>
      <c r="H38" s="1">
        <v>817.88</v>
      </c>
      <c r="I38" s="1" t="e">
        <f ca="1">IF(OR(F38&lt;'Stats Summary'!$B$10,F38&gt;'Stats Summary'!$B$11),"Yes","No")</f>
        <v>#NAME?</v>
      </c>
      <c r="J38" s="1"/>
    </row>
    <row r="39" spans="1:10" x14ac:dyDescent="0.3">
      <c r="A39" s="1" t="s">
        <v>264</v>
      </c>
      <c r="B39" s="1" t="s">
        <v>149</v>
      </c>
      <c r="C39" s="1" t="s">
        <v>31</v>
      </c>
      <c r="D39" s="1" t="s">
        <v>151</v>
      </c>
      <c r="E39" s="4">
        <v>46229</v>
      </c>
      <c r="F39" s="1">
        <v>68</v>
      </c>
      <c r="G39" s="1">
        <v>4.0999999999999996</v>
      </c>
      <c r="H39" s="1">
        <v>1215.8800000000001</v>
      </c>
      <c r="I39" s="1" t="e">
        <f ca="1">IF(OR(F39&lt;'Stats Summary'!$B$10,F39&gt;'Stats Summary'!$B$11),"Yes","No")</f>
        <v>#NAME?</v>
      </c>
      <c r="J39" s="1"/>
    </row>
    <row r="40" spans="1:10" x14ac:dyDescent="0.3">
      <c r="A40" s="1" t="s">
        <v>265</v>
      </c>
      <c r="B40" s="1" t="s">
        <v>171</v>
      </c>
      <c r="C40" s="1" t="s">
        <v>35</v>
      </c>
      <c r="D40" s="1" t="s">
        <v>162</v>
      </c>
      <c r="E40" s="4">
        <v>46237</v>
      </c>
      <c r="F40" s="1">
        <v>23</v>
      </c>
      <c r="G40" s="1">
        <v>4.4000000000000004</v>
      </c>
      <c r="H40" s="1">
        <v>1582.61</v>
      </c>
      <c r="I40" s="1" t="e">
        <f ca="1">IF(OR(F40&lt;'Stats Summary'!$B$10,F40&gt;'Stats Summary'!$B$11),"Yes","No")</f>
        <v>#NAME?</v>
      </c>
      <c r="J40" s="1"/>
    </row>
    <row r="41" spans="1:10" x14ac:dyDescent="0.3">
      <c r="A41" s="1" t="s">
        <v>266</v>
      </c>
      <c r="B41" s="1" t="s">
        <v>153</v>
      </c>
      <c r="C41" s="1" t="s">
        <v>35</v>
      </c>
      <c r="D41" s="1" t="s">
        <v>155</v>
      </c>
      <c r="E41" s="4">
        <v>46232</v>
      </c>
      <c r="F41" s="1">
        <v>46</v>
      </c>
      <c r="G41" s="1">
        <v>4.2</v>
      </c>
      <c r="H41" s="1">
        <v>1392.18</v>
      </c>
      <c r="I41" s="1" t="e">
        <f ca="1">IF(OR(F41&lt;'Stats Summary'!$B$10,F41&gt;'Stats Summary'!$B$11),"Yes","No")</f>
        <v>#NAME?</v>
      </c>
      <c r="J41" s="1"/>
    </row>
    <row r="42" spans="1:10" x14ac:dyDescent="0.3">
      <c r="A42" s="1" t="s">
        <v>267</v>
      </c>
      <c r="B42" s="1" t="s">
        <v>167</v>
      </c>
      <c r="C42" s="1" t="s">
        <v>35</v>
      </c>
      <c r="D42" s="1" t="s">
        <v>155</v>
      </c>
      <c r="E42" s="4">
        <v>46208</v>
      </c>
      <c r="F42" s="1">
        <v>13</v>
      </c>
      <c r="G42" s="1">
        <v>4.3</v>
      </c>
      <c r="H42" s="1">
        <v>313.56</v>
      </c>
      <c r="I42" s="1" t="e">
        <f ca="1">IF(OR(F42&lt;'Stats Summary'!$B$10,F42&gt;'Stats Summary'!$B$11),"Yes","No")</f>
        <v>#NAME?</v>
      </c>
      <c r="J42" s="1"/>
    </row>
    <row r="43" spans="1:10" x14ac:dyDescent="0.3">
      <c r="A43" s="1" t="s">
        <v>268</v>
      </c>
      <c r="B43" s="1" t="s">
        <v>181</v>
      </c>
      <c r="C43" s="1" t="s">
        <v>31</v>
      </c>
      <c r="D43" s="1" t="s">
        <v>162</v>
      </c>
      <c r="E43" s="4">
        <v>46222</v>
      </c>
      <c r="F43" s="1">
        <v>46</v>
      </c>
      <c r="G43" s="1">
        <v>4.8</v>
      </c>
      <c r="H43" s="1">
        <v>442.97</v>
      </c>
      <c r="I43" s="1" t="e">
        <f ca="1">IF(OR(F43&lt;'Stats Summary'!$B$10,F43&gt;'Stats Summary'!$B$11),"Yes","No")</f>
        <v>#NAME?</v>
      </c>
      <c r="J43" s="1"/>
    </row>
    <row r="44" spans="1:10" x14ac:dyDescent="0.3">
      <c r="A44" s="1" t="s">
        <v>269</v>
      </c>
      <c r="B44" s="1" t="s">
        <v>157</v>
      </c>
      <c r="C44" s="1" t="s">
        <v>35</v>
      </c>
      <c r="D44" s="1" t="s">
        <v>159</v>
      </c>
      <c r="E44" s="4">
        <v>46183</v>
      </c>
      <c r="F44" s="1">
        <v>62</v>
      </c>
      <c r="G44" s="1">
        <v>4.5</v>
      </c>
      <c r="H44" s="1">
        <v>1767.69</v>
      </c>
      <c r="I44" s="1" t="e">
        <f ca="1">IF(OR(F44&lt;'Stats Summary'!$B$10,F44&gt;'Stats Summary'!$B$11),"Yes","No")</f>
        <v>#NAME?</v>
      </c>
      <c r="J44" s="1"/>
    </row>
    <row r="45" spans="1:10" x14ac:dyDescent="0.3">
      <c r="A45" s="1" t="s">
        <v>270</v>
      </c>
      <c r="B45" s="1" t="s">
        <v>173</v>
      </c>
      <c r="C45" s="1" t="s">
        <v>38</v>
      </c>
      <c r="D45" s="1" t="s">
        <v>147</v>
      </c>
      <c r="E45" s="4">
        <v>46179</v>
      </c>
      <c r="F45" s="1">
        <v>51</v>
      </c>
      <c r="G45" s="1">
        <v>4.5</v>
      </c>
      <c r="H45" s="1">
        <v>1703.38</v>
      </c>
      <c r="I45" s="1" t="e">
        <f ca="1">IF(OR(F45&lt;'Stats Summary'!$B$10,F45&gt;'Stats Summary'!$B$11),"Yes","No")</f>
        <v>#NAME?</v>
      </c>
      <c r="J45" s="1"/>
    </row>
    <row r="46" spans="1:10" x14ac:dyDescent="0.3">
      <c r="A46" s="1" t="s">
        <v>271</v>
      </c>
      <c r="B46" s="1" t="s">
        <v>153</v>
      </c>
      <c r="C46" s="1" t="s">
        <v>35</v>
      </c>
      <c r="D46" s="1" t="s">
        <v>155</v>
      </c>
      <c r="E46" s="4">
        <v>46207</v>
      </c>
      <c r="F46" s="1">
        <v>60</v>
      </c>
      <c r="G46" s="1">
        <v>4.7</v>
      </c>
      <c r="H46" s="1">
        <v>1164.3900000000001</v>
      </c>
      <c r="I46" s="1" t="e">
        <f ca="1">IF(OR(F46&lt;'Stats Summary'!$B$10,F46&gt;'Stats Summary'!$B$11),"Yes","No")</f>
        <v>#NAME?</v>
      </c>
      <c r="J46" s="1"/>
    </row>
    <row r="47" spans="1:10" x14ac:dyDescent="0.3">
      <c r="A47" s="1" t="s">
        <v>272</v>
      </c>
      <c r="B47" s="1" t="s">
        <v>173</v>
      </c>
      <c r="C47" s="1" t="s">
        <v>38</v>
      </c>
      <c r="D47" s="1" t="s">
        <v>147</v>
      </c>
      <c r="E47" s="4">
        <v>46194</v>
      </c>
      <c r="F47" s="1">
        <v>28</v>
      </c>
      <c r="G47" s="1">
        <v>4.4000000000000004</v>
      </c>
      <c r="H47" s="1">
        <v>1113.3599999999999</v>
      </c>
      <c r="I47" s="1" t="e">
        <f ca="1">IF(OR(F47&lt;'Stats Summary'!$B$10,F47&gt;'Stats Summary'!$B$11),"Yes","No")</f>
        <v>#NAME?</v>
      </c>
      <c r="J47" s="1"/>
    </row>
    <row r="48" spans="1:10" x14ac:dyDescent="0.3">
      <c r="A48" s="1" t="s">
        <v>273</v>
      </c>
      <c r="B48" s="1" t="s">
        <v>171</v>
      </c>
      <c r="C48" s="1" t="s">
        <v>41</v>
      </c>
      <c r="D48" s="1" t="s">
        <v>162</v>
      </c>
      <c r="E48" s="4">
        <v>46207</v>
      </c>
      <c r="F48" s="1">
        <v>38</v>
      </c>
      <c r="G48" s="1">
        <v>4</v>
      </c>
      <c r="H48" s="1">
        <v>610.80999999999995</v>
      </c>
      <c r="I48" s="1" t="e">
        <f ca="1">IF(OR(F48&lt;'Stats Summary'!$B$10,F48&gt;'Stats Summary'!$B$11),"Yes","No")</f>
        <v>#NAME?</v>
      </c>
      <c r="J48" s="1"/>
    </row>
    <row r="49" spans="1:10" x14ac:dyDescent="0.3">
      <c r="A49" s="1" t="s">
        <v>274</v>
      </c>
      <c r="B49" s="1" t="s">
        <v>163</v>
      </c>
      <c r="C49" s="1" t="s">
        <v>31</v>
      </c>
      <c r="D49" s="1" t="s">
        <v>147</v>
      </c>
      <c r="E49" s="4">
        <v>46260</v>
      </c>
      <c r="F49" s="1">
        <v>17</v>
      </c>
      <c r="G49" s="1">
        <v>4.3</v>
      </c>
      <c r="H49" s="1">
        <v>350.85</v>
      </c>
      <c r="I49" s="1" t="e">
        <f ca="1">IF(OR(F49&lt;'Stats Summary'!$B$10,F49&gt;'Stats Summary'!$B$11),"Yes","No")</f>
        <v>#NAME?</v>
      </c>
      <c r="J49" s="1"/>
    </row>
    <row r="50" spans="1:10" x14ac:dyDescent="0.3">
      <c r="A50" s="1" t="s">
        <v>275</v>
      </c>
      <c r="B50" s="1" t="s">
        <v>173</v>
      </c>
      <c r="C50" s="1" t="s">
        <v>31</v>
      </c>
      <c r="D50" s="1" t="s">
        <v>147</v>
      </c>
      <c r="E50" s="4">
        <v>46217</v>
      </c>
      <c r="F50" s="1">
        <v>37</v>
      </c>
      <c r="G50" s="1">
        <v>4.3</v>
      </c>
      <c r="H50" s="1">
        <v>1074.0899999999999</v>
      </c>
      <c r="I50" s="1" t="e">
        <f ca="1">IF(OR(F50&lt;'Stats Summary'!$B$10,F50&gt;'Stats Summary'!$B$11),"Yes","No")</f>
        <v>#NAME?</v>
      </c>
      <c r="J50" s="1"/>
    </row>
    <row r="51" spans="1:10" x14ac:dyDescent="0.3">
      <c r="A51" s="1" t="s">
        <v>276</v>
      </c>
      <c r="B51" s="1" t="s">
        <v>153</v>
      </c>
      <c r="C51" s="1" t="s">
        <v>35</v>
      </c>
      <c r="D51" s="1" t="s">
        <v>155</v>
      </c>
      <c r="E51" s="4">
        <v>46229</v>
      </c>
      <c r="F51" s="1">
        <v>14</v>
      </c>
      <c r="G51" s="1">
        <v>4.3</v>
      </c>
      <c r="H51" s="1">
        <v>600.21</v>
      </c>
      <c r="I51" s="1" t="e">
        <f ca="1">IF(OR(F51&lt;'Stats Summary'!$B$10,F51&gt;'Stats Summary'!$B$11),"Yes","No")</f>
        <v>#NAME?</v>
      </c>
      <c r="J51" s="1"/>
    </row>
    <row r="52" spans="1:10" x14ac:dyDescent="0.3">
      <c r="A52" s="1" t="s">
        <v>277</v>
      </c>
      <c r="B52" s="1" t="s">
        <v>153</v>
      </c>
      <c r="C52" s="1" t="s">
        <v>31</v>
      </c>
      <c r="D52" s="1" t="s">
        <v>155</v>
      </c>
      <c r="E52" s="4">
        <v>46223</v>
      </c>
      <c r="F52" s="1">
        <v>38</v>
      </c>
      <c r="G52" s="1">
        <v>4</v>
      </c>
      <c r="H52" s="1">
        <v>727.77</v>
      </c>
      <c r="I52" s="1" t="e">
        <f ca="1">IF(OR(F52&lt;'Stats Summary'!$B$10,F52&gt;'Stats Summary'!$B$11),"Yes","No")</f>
        <v>#NAME?</v>
      </c>
      <c r="J52" s="1"/>
    </row>
    <row r="53" spans="1:10" x14ac:dyDescent="0.3">
      <c r="A53" s="1" t="s">
        <v>278</v>
      </c>
      <c r="B53" s="1" t="s">
        <v>173</v>
      </c>
      <c r="C53" s="1" t="s">
        <v>31</v>
      </c>
      <c r="D53" s="1" t="s">
        <v>147</v>
      </c>
      <c r="E53" s="4">
        <v>46225</v>
      </c>
      <c r="F53" s="1">
        <v>58</v>
      </c>
      <c r="G53" s="1">
        <v>3.7</v>
      </c>
      <c r="H53" s="1">
        <v>651.23</v>
      </c>
      <c r="I53" s="1" t="e">
        <f ca="1">IF(OR(F53&lt;'Stats Summary'!$B$10,F53&gt;'Stats Summary'!$B$11),"Yes","No")</f>
        <v>#NAME?</v>
      </c>
      <c r="J53" s="1"/>
    </row>
    <row r="54" spans="1:10" x14ac:dyDescent="0.3">
      <c r="A54" s="1" t="s">
        <v>279</v>
      </c>
      <c r="B54" s="1" t="s">
        <v>167</v>
      </c>
      <c r="C54" s="1" t="s">
        <v>35</v>
      </c>
      <c r="D54" s="1" t="s">
        <v>155</v>
      </c>
      <c r="E54" s="4">
        <v>46245</v>
      </c>
      <c r="F54" s="1">
        <v>16</v>
      </c>
      <c r="G54" s="1">
        <v>4.0999999999999996</v>
      </c>
      <c r="H54" s="1">
        <v>759.21</v>
      </c>
      <c r="I54" s="1" t="e">
        <f ca="1">IF(OR(F54&lt;'Stats Summary'!$B$10,F54&gt;'Stats Summary'!$B$11),"Yes","No")</f>
        <v>#NAME?</v>
      </c>
      <c r="J54" s="1"/>
    </row>
    <row r="55" spans="1:10" x14ac:dyDescent="0.3">
      <c r="A55" s="1" t="s">
        <v>280</v>
      </c>
      <c r="B55" s="1" t="s">
        <v>153</v>
      </c>
      <c r="C55" s="1" t="s">
        <v>38</v>
      </c>
      <c r="D55" s="1" t="s">
        <v>155</v>
      </c>
      <c r="E55" s="4">
        <v>46188</v>
      </c>
      <c r="F55" s="1">
        <v>29</v>
      </c>
      <c r="G55" s="1">
        <v>4.2</v>
      </c>
      <c r="H55" s="1">
        <v>1644.13</v>
      </c>
      <c r="I55" s="1" t="e">
        <f ca="1">IF(OR(F55&lt;'Stats Summary'!$B$10,F55&gt;'Stats Summary'!$B$11),"Yes","No")</f>
        <v>#NAME?</v>
      </c>
      <c r="J55" s="1"/>
    </row>
    <row r="56" spans="1:10" x14ac:dyDescent="0.3">
      <c r="A56" s="1" t="s">
        <v>281</v>
      </c>
      <c r="B56" s="1" t="s">
        <v>165</v>
      </c>
      <c r="C56" s="1" t="s">
        <v>38</v>
      </c>
      <c r="D56" s="1" t="s">
        <v>151</v>
      </c>
      <c r="E56" s="4">
        <v>46248</v>
      </c>
      <c r="F56" s="1">
        <v>47</v>
      </c>
      <c r="G56" s="1">
        <v>4.7</v>
      </c>
      <c r="H56" s="1">
        <v>621.51</v>
      </c>
      <c r="I56" s="1" t="e">
        <f ca="1">IF(OR(F56&lt;'Stats Summary'!$B$10,F56&gt;'Stats Summary'!$B$11),"Yes","No")</f>
        <v>#NAME?</v>
      </c>
      <c r="J56" s="1"/>
    </row>
    <row r="57" spans="1:10" x14ac:dyDescent="0.3">
      <c r="A57" s="1" t="s">
        <v>282</v>
      </c>
      <c r="B57" s="1" t="s">
        <v>175</v>
      </c>
      <c r="C57" s="1" t="s">
        <v>41</v>
      </c>
      <c r="D57" s="1" t="s">
        <v>151</v>
      </c>
      <c r="E57" s="4">
        <v>46192</v>
      </c>
      <c r="F57" s="1">
        <v>13</v>
      </c>
      <c r="G57" s="1">
        <v>3.6</v>
      </c>
      <c r="H57" s="1">
        <v>1496.42</v>
      </c>
      <c r="I57" s="1" t="e">
        <f ca="1">IF(OR(F57&lt;'Stats Summary'!$B$10,F57&gt;'Stats Summary'!$B$11),"Yes","No")</f>
        <v>#NAME?</v>
      </c>
      <c r="J57" s="1"/>
    </row>
    <row r="58" spans="1:10" x14ac:dyDescent="0.3">
      <c r="A58" s="1" t="s">
        <v>283</v>
      </c>
      <c r="B58" s="1" t="s">
        <v>149</v>
      </c>
      <c r="C58" s="1" t="s">
        <v>38</v>
      </c>
      <c r="D58" s="1" t="s">
        <v>151</v>
      </c>
      <c r="E58" s="4">
        <v>46213</v>
      </c>
      <c r="F58" s="1">
        <v>52</v>
      </c>
      <c r="G58" s="1">
        <v>4.5</v>
      </c>
      <c r="H58" s="1">
        <v>1731.27</v>
      </c>
      <c r="I58" s="1" t="e">
        <f ca="1">IF(OR(F58&lt;'Stats Summary'!$B$10,F58&gt;'Stats Summary'!$B$11),"Yes","No")</f>
        <v>#NAME?</v>
      </c>
      <c r="J58" s="1"/>
    </row>
    <row r="59" spans="1:10" x14ac:dyDescent="0.3">
      <c r="A59" s="1" t="s">
        <v>284</v>
      </c>
      <c r="B59" s="1" t="s">
        <v>145</v>
      </c>
      <c r="C59" s="1" t="s">
        <v>31</v>
      </c>
      <c r="D59" s="1" t="s">
        <v>147</v>
      </c>
      <c r="E59" s="4">
        <v>46177</v>
      </c>
      <c r="F59" s="1">
        <v>43</v>
      </c>
      <c r="G59" s="1">
        <v>3.9</v>
      </c>
      <c r="H59" s="1">
        <v>468.88</v>
      </c>
      <c r="I59" s="1" t="e">
        <f ca="1">IF(OR(F59&lt;'Stats Summary'!$B$10,F59&gt;'Stats Summary'!$B$11),"Yes","No")</f>
        <v>#NAME?</v>
      </c>
      <c r="J59" s="1"/>
    </row>
    <row r="60" spans="1:10" x14ac:dyDescent="0.3">
      <c r="A60" s="1" t="s">
        <v>285</v>
      </c>
      <c r="B60" s="1" t="s">
        <v>145</v>
      </c>
      <c r="C60" s="1" t="s">
        <v>38</v>
      </c>
      <c r="D60" s="1" t="s">
        <v>147</v>
      </c>
      <c r="E60" s="4">
        <v>46263</v>
      </c>
      <c r="F60" s="1">
        <v>8</v>
      </c>
      <c r="G60" s="1">
        <v>5</v>
      </c>
      <c r="H60" s="1">
        <v>465.64</v>
      </c>
      <c r="I60" s="1" t="e">
        <f ca="1">IF(OR(F60&lt;'Stats Summary'!$B$10,F60&gt;'Stats Summary'!$B$11),"Yes","No")</f>
        <v>#NAME?</v>
      </c>
      <c r="J60" s="1"/>
    </row>
    <row r="61" spans="1:10" x14ac:dyDescent="0.3">
      <c r="A61" s="1" t="s">
        <v>286</v>
      </c>
      <c r="B61" s="1" t="s">
        <v>160</v>
      </c>
      <c r="C61" s="1" t="s">
        <v>45</v>
      </c>
      <c r="D61" s="1" t="s">
        <v>162</v>
      </c>
      <c r="E61" s="4">
        <v>46204</v>
      </c>
      <c r="F61" s="1">
        <v>17</v>
      </c>
      <c r="G61" s="1">
        <v>4.5999999999999996</v>
      </c>
      <c r="H61" s="1">
        <v>591.16</v>
      </c>
      <c r="I61" s="1" t="e">
        <f ca="1">IF(OR(F61&lt;'Stats Summary'!$B$10,F61&gt;'Stats Summary'!$B$11),"Yes","No")</f>
        <v>#NAME?</v>
      </c>
      <c r="J61" s="1"/>
    </row>
    <row r="62" spans="1:10" x14ac:dyDescent="0.3">
      <c r="A62" s="1" t="s">
        <v>287</v>
      </c>
      <c r="B62" s="1" t="s">
        <v>163</v>
      </c>
      <c r="C62" s="1" t="s">
        <v>45</v>
      </c>
      <c r="D62" s="1" t="s">
        <v>147</v>
      </c>
      <c r="E62" s="4">
        <v>46220</v>
      </c>
      <c r="F62" s="1">
        <v>33</v>
      </c>
      <c r="G62" s="1">
        <v>4.2</v>
      </c>
      <c r="H62" s="1">
        <v>935.6</v>
      </c>
      <c r="I62" s="1" t="e">
        <f ca="1">IF(OR(F62&lt;'Stats Summary'!$B$10,F62&gt;'Stats Summary'!$B$11),"Yes","No")</f>
        <v>#NAME?</v>
      </c>
      <c r="J62" s="1"/>
    </row>
    <row r="63" spans="1:10" x14ac:dyDescent="0.3">
      <c r="A63" s="1" t="s">
        <v>288</v>
      </c>
      <c r="B63" s="1" t="s">
        <v>177</v>
      </c>
      <c r="C63" s="1" t="s">
        <v>38</v>
      </c>
      <c r="D63" s="1" t="s">
        <v>155</v>
      </c>
      <c r="E63" s="4">
        <v>46193</v>
      </c>
      <c r="F63" s="1">
        <v>47</v>
      </c>
      <c r="G63" s="1">
        <v>4.5</v>
      </c>
      <c r="H63" s="1">
        <v>1569.07</v>
      </c>
      <c r="I63" s="1" t="e">
        <f ca="1">IF(OR(F63&lt;'Stats Summary'!$B$10,F63&gt;'Stats Summary'!$B$11),"Yes","No")</f>
        <v>#NAME?</v>
      </c>
      <c r="J63" s="1"/>
    </row>
    <row r="64" spans="1:10" x14ac:dyDescent="0.3">
      <c r="A64" s="1" t="s">
        <v>289</v>
      </c>
      <c r="B64" s="1" t="s">
        <v>179</v>
      </c>
      <c r="C64" s="1" t="s">
        <v>38</v>
      </c>
      <c r="D64" s="1" t="s">
        <v>159</v>
      </c>
      <c r="E64" s="4">
        <v>46239</v>
      </c>
      <c r="F64" s="1">
        <v>13</v>
      </c>
      <c r="G64" s="1">
        <v>4.4000000000000004</v>
      </c>
      <c r="H64" s="1">
        <v>1185.0899999999999</v>
      </c>
      <c r="I64" s="1" t="e">
        <f ca="1">IF(OR(F64&lt;'Stats Summary'!$B$10,F64&gt;'Stats Summary'!$B$11),"Yes","No")</f>
        <v>#NAME?</v>
      </c>
      <c r="J64" s="1"/>
    </row>
    <row r="65" spans="1:10" x14ac:dyDescent="0.3">
      <c r="A65" s="1" t="s">
        <v>290</v>
      </c>
      <c r="B65" s="1" t="s">
        <v>165</v>
      </c>
      <c r="C65" s="1" t="s">
        <v>41</v>
      </c>
      <c r="D65" s="1" t="s">
        <v>151</v>
      </c>
      <c r="E65" s="4">
        <v>46245</v>
      </c>
      <c r="F65" s="1">
        <v>50</v>
      </c>
      <c r="G65" s="1">
        <v>4.8</v>
      </c>
      <c r="H65" s="1">
        <v>602.92999999999995</v>
      </c>
      <c r="I65" s="1" t="e">
        <f ca="1">IF(OR(F65&lt;'Stats Summary'!$B$10,F65&gt;'Stats Summary'!$B$11),"Yes","No")</f>
        <v>#NAME?</v>
      </c>
      <c r="J65" s="1"/>
    </row>
    <row r="66" spans="1:10" x14ac:dyDescent="0.3">
      <c r="A66" s="1" t="s">
        <v>291</v>
      </c>
      <c r="B66" s="1" t="s">
        <v>175</v>
      </c>
      <c r="C66" s="1" t="s">
        <v>38</v>
      </c>
      <c r="D66" s="1" t="s">
        <v>151</v>
      </c>
      <c r="E66" s="4">
        <v>46226</v>
      </c>
      <c r="F66" s="1">
        <v>38</v>
      </c>
      <c r="G66" s="1">
        <v>4.4000000000000004</v>
      </c>
      <c r="H66" s="1">
        <v>654.91</v>
      </c>
      <c r="I66" s="1" t="e">
        <f ca="1">IF(OR(F66&lt;'Stats Summary'!$B$10,F66&gt;'Stats Summary'!$B$11),"Yes","No")</f>
        <v>#NAME?</v>
      </c>
      <c r="J66" s="1"/>
    </row>
    <row r="67" spans="1:10" x14ac:dyDescent="0.3">
      <c r="A67" s="1" t="s">
        <v>292</v>
      </c>
      <c r="B67" s="1" t="s">
        <v>160</v>
      </c>
      <c r="C67" s="1" t="s">
        <v>38</v>
      </c>
      <c r="D67" s="1" t="s">
        <v>162</v>
      </c>
      <c r="E67" s="4">
        <v>46232</v>
      </c>
      <c r="F67" s="1">
        <v>24</v>
      </c>
      <c r="G67" s="1">
        <v>4.7</v>
      </c>
      <c r="H67" s="1">
        <v>536.16</v>
      </c>
      <c r="I67" s="1" t="e">
        <f ca="1">IF(OR(F67&lt;'Stats Summary'!$B$10,F67&gt;'Stats Summary'!$B$11),"Yes","No")</f>
        <v>#NAME?</v>
      </c>
      <c r="J67" s="1"/>
    </row>
    <row r="68" spans="1:10" x14ac:dyDescent="0.3">
      <c r="A68" s="1" t="s">
        <v>293</v>
      </c>
      <c r="B68" s="1" t="s">
        <v>163</v>
      </c>
      <c r="C68" s="1" t="s">
        <v>41</v>
      </c>
      <c r="D68" s="1" t="s">
        <v>147</v>
      </c>
      <c r="E68" s="4">
        <v>46265</v>
      </c>
      <c r="F68" s="1">
        <v>26</v>
      </c>
      <c r="G68" s="1">
        <v>4.9000000000000004</v>
      </c>
      <c r="H68" s="1">
        <v>943.36</v>
      </c>
      <c r="I68" s="1" t="e">
        <f ca="1">IF(OR(F68&lt;'Stats Summary'!$B$10,F68&gt;'Stats Summary'!$B$11),"Yes","No")</f>
        <v>#NAME?</v>
      </c>
      <c r="J68" s="1"/>
    </row>
    <row r="69" spans="1:10" x14ac:dyDescent="0.3">
      <c r="A69" s="1" t="s">
        <v>294</v>
      </c>
      <c r="B69" s="1" t="s">
        <v>179</v>
      </c>
      <c r="C69" s="1" t="s">
        <v>35</v>
      </c>
      <c r="D69" s="1" t="s">
        <v>159</v>
      </c>
      <c r="E69" s="4">
        <v>46223</v>
      </c>
      <c r="F69" s="1">
        <v>34</v>
      </c>
      <c r="G69" s="1">
        <v>5</v>
      </c>
      <c r="H69" s="1">
        <v>1392.13</v>
      </c>
      <c r="I69" s="1" t="e">
        <f ca="1">IF(OR(F69&lt;'Stats Summary'!$B$10,F69&gt;'Stats Summary'!$B$11),"Yes","No")</f>
        <v>#NAME?</v>
      </c>
      <c r="J69" s="1"/>
    </row>
    <row r="70" spans="1:10" x14ac:dyDescent="0.3">
      <c r="A70" s="1" t="s">
        <v>295</v>
      </c>
      <c r="B70" s="1" t="s">
        <v>173</v>
      </c>
      <c r="C70" s="1" t="s">
        <v>45</v>
      </c>
      <c r="D70" s="1" t="s">
        <v>147</v>
      </c>
      <c r="E70" s="4">
        <v>46198</v>
      </c>
      <c r="F70" s="1">
        <v>25</v>
      </c>
      <c r="G70" s="1">
        <v>3.4</v>
      </c>
      <c r="H70" s="1">
        <v>1472.35</v>
      </c>
      <c r="I70" s="1" t="e">
        <f ca="1">IF(OR(F70&lt;'Stats Summary'!$B$10,F70&gt;'Stats Summary'!$B$11),"Yes","No")</f>
        <v>#NAME?</v>
      </c>
      <c r="J70" s="1"/>
    </row>
    <row r="71" spans="1:10" x14ac:dyDescent="0.3">
      <c r="A71" s="1" t="s">
        <v>296</v>
      </c>
      <c r="B71" s="1" t="s">
        <v>149</v>
      </c>
      <c r="C71" s="1" t="s">
        <v>41</v>
      </c>
      <c r="D71" s="1" t="s">
        <v>151</v>
      </c>
      <c r="E71" s="4">
        <v>46186</v>
      </c>
      <c r="F71" s="1">
        <v>43</v>
      </c>
      <c r="G71" s="1">
        <v>4.7</v>
      </c>
      <c r="H71" s="1">
        <v>521.94000000000005</v>
      </c>
      <c r="I71" s="1" t="e">
        <f ca="1">IF(OR(F71&lt;'Stats Summary'!$B$10,F71&gt;'Stats Summary'!$B$11),"Yes","No")</f>
        <v>#NAME?</v>
      </c>
      <c r="J71" s="1"/>
    </row>
    <row r="72" spans="1:10" x14ac:dyDescent="0.3">
      <c r="A72" s="1" t="s">
        <v>297</v>
      </c>
      <c r="B72" s="1" t="s">
        <v>167</v>
      </c>
      <c r="C72" s="1" t="s">
        <v>35</v>
      </c>
      <c r="D72" s="1" t="s">
        <v>155</v>
      </c>
      <c r="E72" s="4">
        <v>46205</v>
      </c>
      <c r="F72" s="1">
        <v>54</v>
      </c>
      <c r="G72" s="1">
        <v>4</v>
      </c>
      <c r="H72" s="1">
        <v>1448.06</v>
      </c>
      <c r="I72" s="1" t="e">
        <f ca="1">IF(OR(F72&lt;'Stats Summary'!$B$10,F72&gt;'Stats Summary'!$B$11),"Yes","No")</f>
        <v>#NAME?</v>
      </c>
      <c r="J72" s="1"/>
    </row>
    <row r="73" spans="1:10" x14ac:dyDescent="0.3">
      <c r="A73" s="1" t="s">
        <v>298</v>
      </c>
      <c r="B73" s="1" t="s">
        <v>145</v>
      </c>
      <c r="C73" s="1" t="s">
        <v>45</v>
      </c>
      <c r="D73" s="1" t="s">
        <v>147</v>
      </c>
      <c r="E73" s="4">
        <v>46250</v>
      </c>
      <c r="F73" s="1">
        <v>34</v>
      </c>
      <c r="G73" s="1">
        <v>4.8</v>
      </c>
      <c r="H73" s="1">
        <v>1177.25</v>
      </c>
      <c r="I73" s="1" t="e">
        <f ca="1">IF(OR(F73&lt;'Stats Summary'!$B$10,F73&gt;'Stats Summary'!$B$11),"Yes","No")</f>
        <v>#NAME?</v>
      </c>
      <c r="J73" s="1"/>
    </row>
    <row r="74" spans="1:10" x14ac:dyDescent="0.3">
      <c r="A74" s="1" t="s">
        <v>299</v>
      </c>
      <c r="B74" s="1" t="s">
        <v>181</v>
      </c>
      <c r="C74" s="1" t="s">
        <v>45</v>
      </c>
      <c r="D74" s="1" t="s">
        <v>162</v>
      </c>
      <c r="E74" s="4">
        <v>46250</v>
      </c>
      <c r="F74" s="1">
        <v>33</v>
      </c>
      <c r="G74" s="1">
        <v>4.5</v>
      </c>
      <c r="H74" s="1">
        <v>459.53</v>
      </c>
      <c r="I74" s="1" t="e">
        <f ca="1">IF(OR(F74&lt;'Stats Summary'!$B$10,F74&gt;'Stats Summary'!$B$11),"Yes","No")</f>
        <v>#NAME?</v>
      </c>
      <c r="J74" s="1"/>
    </row>
    <row r="75" spans="1:10" x14ac:dyDescent="0.3">
      <c r="A75" s="1" t="s">
        <v>300</v>
      </c>
      <c r="B75" s="1" t="s">
        <v>167</v>
      </c>
      <c r="C75" s="1" t="s">
        <v>31</v>
      </c>
      <c r="D75" s="1" t="s">
        <v>155</v>
      </c>
      <c r="E75" s="4">
        <v>46261</v>
      </c>
      <c r="F75" s="1">
        <v>25</v>
      </c>
      <c r="G75" s="1">
        <v>3.8</v>
      </c>
      <c r="H75" s="1">
        <v>1637.61</v>
      </c>
      <c r="I75" s="1" t="e">
        <f ca="1">IF(OR(F75&lt;'Stats Summary'!$B$10,F75&gt;'Stats Summary'!$B$11),"Yes","No")</f>
        <v>#NAME?</v>
      </c>
      <c r="J75" s="1"/>
    </row>
    <row r="76" spans="1:10" x14ac:dyDescent="0.3">
      <c r="A76" s="1" t="s">
        <v>301</v>
      </c>
      <c r="B76" s="1" t="s">
        <v>160</v>
      </c>
      <c r="C76" s="1" t="s">
        <v>31</v>
      </c>
      <c r="D76" s="1" t="s">
        <v>162</v>
      </c>
      <c r="E76" s="4">
        <v>46218</v>
      </c>
      <c r="F76" s="1">
        <v>55</v>
      </c>
      <c r="G76" s="1">
        <v>4.2</v>
      </c>
      <c r="H76" s="1">
        <v>1709.22</v>
      </c>
      <c r="I76" s="1" t="e">
        <f ca="1">IF(OR(F76&lt;'Stats Summary'!$B$10,F76&gt;'Stats Summary'!$B$11),"Yes","No")</f>
        <v>#NAME?</v>
      </c>
      <c r="J76" s="1"/>
    </row>
    <row r="77" spans="1:10" x14ac:dyDescent="0.3">
      <c r="A77" s="1" t="s">
        <v>302</v>
      </c>
      <c r="B77" s="1" t="s">
        <v>175</v>
      </c>
      <c r="C77" s="1" t="s">
        <v>35</v>
      </c>
      <c r="D77" s="1" t="s">
        <v>151</v>
      </c>
      <c r="E77" s="4">
        <v>46233</v>
      </c>
      <c r="F77" s="1">
        <v>16</v>
      </c>
      <c r="G77" s="1">
        <v>4.3</v>
      </c>
      <c r="H77" s="1">
        <v>390.2</v>
      </c>
      <c r="I77" s="1" t="e">
        <f ca="1">IF(OR(F77&lt;'Stats Summary'!$B$10,F77&gt;'Stats Summary'!$B$11),"Yes","No")</f>
        <v>#NAME?</v>
      </c>
      <c r="J77" s="1"/>
    </row>
    <row r="78" spans="1:10" x14ac:dyDescent="0.3">
      <c r="A78" s="1" t="s">
        <v>303</v>
      </c>
      <c r="B78" s="1" t="s">
        <v>153</v>
      </c>
      <c r="C78" s="1" t="s">
        <v>31</v>
      </c>
      <c r="D78" s="1" t="s">
        <v>155</v>
      </c>
      <c r="E78" s="4">
        <v>46249</v>
      </c>
      <c r="F78" s="1">
        <v>49</v>
      </c>
      <c r="G78" s="1">
        <v>3.5</v>
      </c>
      <c r="H78" s="1">
        <v>578.12</v>
      </c>
      <c r="I78" s="1" t="e">
        <f ca="1">IF(OR(F78&lt;'Stats Summary'!$B$10,F78&gt;'Stats Summary'!$B$11),"Yes","No")</f>
        <v>#NAME?</v>
      </c>
      <c r="J78" s="1"/>
    </row>
    <row r="79" spans="1:10" x14ac:dyDescent="0.3">
      <c r="A79" s="1" t="s">
        <v>304</v>
      </c>
      <c r="B79" s="1" t="s">
        <v>169</v>
      </c>
      <c r="C79" s="1" t="s">
        <v>31</v>
      </c>
      <c r="D79" s="1" t="s">
        <v>159</v>
      </c>
      <c r="E79" s="4">
        <v>46196</v>
      </c>
      <c r="F79" s="1">
        <v>29</v>
      </c>
      <c r="G79" s="1">
        <v>4.5</v>
      </c>
      <c r="H79" s="1">
        <v>252.28</v>
      </c>
      <c r="I79" s="1" t="e">
        <f ca="1">IF(OR(F79&lt;'Stats Summary'!$B$10,F79&gt;'Stats Summary'!$B$11),"Yes","No")</f>
        <v>#NAME?</v>
      </c>
      <c r="J79" s="1"/>
    </row>
    <row r="80" spans="1:10" x14ac:dyDescent="0.3">
      <c r="A80" s="1" t="s">
        <v>305</v>
      </c>
      <c r="B80" s="1" t="s">
        <v>173</v>
      </c>
      <c r="C80" s="1" t="s">
        <v>31</v>
      </c>
      <c r="D80" s="1" t="s">
        <v>147</v>
      </c>
      <c r="E80" s="4">
        <v>46199</v>
      </c>
      <c r="F80" s="1">
        <v>35</v>
      </c>
      <c r="G80" s="1">
        <v>5</v>
      </c>
      <c r="H80" s="1">
        <v>383.75</v>
      </c>
      <c r="I80" s="1" t="e">
        <f ca="1">IF(OR(F80&lt;'Stats Summary'!$B$10,F80&gt;'Stats Summary'!$B$11),"Yes","No")</f>
        <v>#NAME?</v>
      </c>
      <c r="J80" s="1"/>
    </row>
    <row r="81" spans="1:10" x14ac:dyDescent="0.3">
      <c r="A81" s="1" t="s">
        <v>306</v>
      </c>
      <c r="B81" s="1" t="s">
        <v>169</v>
      </c>
      <c r="C81" s="1" t="s">
        <v>45</v>
      </c>
      <c r="D81" s="1" t="s">
        <v>159</v>
      </c>
      <c r="E81" s="4">
        <v>46179</v>
      </c>
      <c r="F81" s="1">
        <v>42</v>
      </c>
      <c r="G81" s="1">
        <v>3.5</v>
      </c>
      <c r="H81" s="1">
        <v>1226.49</v>
      </c>
      <c r="I81" s="1" t="e">
        <f ca="1">IF(OR(F81&lt;'Stats Summary'!$B$10,F81&gt;'Stats Summary'!$B$11),"Yes","No")</f>
        <v>#NAME?</v>
      </c>
      <c r="J81" s="1"/>
    </row>
    <row r="82" spans="1:10" x14ac:dyDescent="0.3">
      <c r="A82" s="1" t="s">
        <v>307</v>
      </c>
      <c r="B82" s="1" t="s">
        <v>157</v>
      </c>
      <c r="C82" s="1" t="s">
        <v>35</v>
      </c>
      <c r="D82" s="1" t="s">
        <v>159</v>
      </c>
      <c r="E82" s="4">
        <v>46225</v>
      </c>
      <c r="F82" s="1">
        <v>17</v>
      </c>
      <c r="G82" s="1">
        <v>3.4</v>
      </c>
      <c r="H82" s="1">
        <v>348</v>
      </c>
      <c r="I82" s="1" t="e">
        <f ca="1">IF(OR(F82&lt;'Stats Summary'!$B$10,F82&gt;'Stats Summary'!$B$11),"Yes","No")</f>
        <v>#NAME?</v>
      </c>
      <c r="J82" s="1"/>
    </row>
    <row r="83" spans="1:10" x14ac:dyDescent="0.3">
      <c r="A83" s="1" t="s">
        <v>308</v>
      </c>
      <c r="B83" s="1" t="s">
        <v>163</v>
      </c>
      <c r="C83" s="1" t="s">
        <v>35</v>
      </c>
      <c r="D83" s="1" t="s">
        <v>147</v>
      </c>
      <c r="E83" s="4">
        <v>46187</v>
      </c>
      <c r="F83" s="1">
        <v>54</v>
      </c>
      <c r="G83" s="1">
        <v>4.5</v>
      </c>
      <c r="H83" s="1">
        <v>1479.27</v>
      </c>
      <c r="I83" s="1" t="e">
        <f ca="1">IF(OR(F83&lt;'Stats Summary'!$B$10,F83&gt;'Stats Summary'!$B$11),"Yes","No")</f>
        <v>#NAME?</v>
      </c>
      <c r="J83" s="1"/>
    </row>
    <row r="84" spans="1:10" x14ac:dyDescent="0.3">
      <c r="A84" s="1" t="s">
        <v>309</v>
      </c>
      <c r="B84" s="1" t="s">
        <v>171</v>
      </c>
      <c r="C84" s="1" t="s">
        <v>41</v>
      </c>
      <c r="D84" s="1" t="s">
        <v>162</v>
      </c>
      <c r="E84" s="4">
        <v>46193</v>
      </c>
      <c r="F84" s="1">
        <v>45</v>
      </c>
      <c r="G84" s="1">
        <v>3.5</v>
      </c>
      <c r="H84" s="1">
        <v>616.64</v>
      </c>
      <c r="I84" s="1" t="e">
        <f ca="1">IF(OR(F84&lt;'Stats Summary'!$B$10,F84&gt;'Stats Summary'!$B$11),"Yes","No")</f>
        <v>#NAME?</v>
      </c>
      <c r="J84" s="1"/>
    </row>
    <row r="85" spans="1:10" x14ac:dyDescent="0.3">
      <c r="A85" s="1" t="s">
        <v>310</v>
      </c>
      <c r="B85" s="1" t="s">
        <v>163</v>
      </c>
      <c r="C85" s="1" t="s">
        <v>38</v>
      </c>
      <c r="D85" s="1" t="s">
        <v>147</v>
      </c>
      <c r="E85" s="4">
        <v>46184</v>
      </c>
      <c r="F85" s="1">
        <v>45</v>
      </c>
      <c r="G85" s="1">
        <v>4.3</v>
      </c>
      <c r="H85" s="1">
        <v>929.29</v>
      </c>
      <c r="I85" s="1" t="e">
        <f ca="1">IF(OR(F85&lt;'Stats Summary'!$B$10,F85&gt;'Stats Summary'!$B$11),"Yes","No")</f>
        <v>#NAME?</v>
      </c>
      <c r="J85" s="1"/>
    </row>
    <row r="86" spans="1:10" x14ac:dyDescent="0.3">
      <c r="A86" s="1" t="s">
        <v>311</v>
      </c>
      <c r="B86" s="1" t="s">
        <v>149</v>
      </c>
      <c r="C86" s="1" t="s">
        <v>31</v>
      </c>
      <c r="D86" s="1" t="s">
        <v>151</v>
      </c>
      <c r="E86" s="4">
        <v>46230</v>
      </c>
      <c r="F86" s="1">
        <v>24</v>
      </c>
      <c r="G86" s="1">
        <v>3.3</v>
      </c>
      <c r="H86" s="1">
        <v>180.57</v>
      </c>
      <c r="I86" s="1" t="e">
        <f ca="1">IF(OR(F86&lt;'Stats Summary'!$B$10,F86&gt;'Stats Summary'!$B$11),"Yes","No")</f>
        <v>#NAME?</v>
      </c>
      <c r="J86" s="1"/>
    </row>
    <row r="87" spans="1:10" x14ac:dyDescent="0.3">
      <c r="A87" s="1" t="s">
        <v>312</v>
      </c>
      <c r="B87" s="1" t="s">
        <v>179</v>
      </c>
      <c r="C87" s="1" t="s">
        <v>41</v>
      </c>
      <c r="D87" s="1" t="s">
        <v>159</v>
      </c>
      <c r="E87" s="4">
        <v>46193</v>
      </c>
      <c r="F87" s="1">
        <v>18</v>
      </c>
      <c r="G87" s="1">
        <v>4.5999999999999996</v>
      </c>
      <c r="H87" s="1">
        <v>425.49</v>
      </c>
      <c r="I87" s="1" t="e">
        <f ca="1">IF(OR(F87&lt;'Stats Summary'!$B$10,F87&gt;'Stats Summary'!$B$11),"Yes","No")</f>
        <v>#NAME?</v>
      </c>
      <c r="J87" s="1"/>
    </row>
    <row r="88" spans="1:10" x14ac:dyDescent="0.3">
      <c r="A88" s="1" t="s">
        <v>313</v>
      </c>
      <c r="B88" s="1" t="s">
        <v>179</v>
      </c>
      <c r="C88" s="1" t="s">
        <v>35</v>
      </c>
      <c r="D88" s="1" t="s">
        <v>159</v>
      </c>
      <c r="E88" s="4">
        <v>46248</v>
      </c>
      <c r="F88" s="1">
        <v>45</v>
      </c>
      <c r="G88" s="1">
        <v>3.4</v>
      </c>
      <c r="H88" s="1">
        <v>334.31</v>
      </c>
      <c r="I88" s="1" t="e">
        <f ca="1">IF(OR(F88&lt;'Stats Summary'!$B$10,F88&gt;'Stats Summary'!$B$11),"Yes","No")</f>
        <v>#NAME?</v>
      </c>
      <c r="J88" s="1"/>
    </row>
    <row r="89" spans="1:10" x14ac:dyDescent="0.3">
      <c r="A89" s="1" t="s">
        <v>314</v>
      </c>
      <c r="B89" s="1" t="s">
        <v>181</v>
      </c>
      <c r="C89" s="1" t="s">
        <v>38</v>
      </c>
      <c r="D89" s="1" t="s">
        <v>162</v>
      </c>
      <c r="E89" s="4">
        <v>46184</v>
      </c>
      <c r="F89" s="1">
        <v>43</v>
      </c>
      <c r="G89" s="1">
        <v>3.5</v>
      </c>
      <c r="H89" s="1">
        <v>1684.45</v>
      </c>
      <c r="I89" s="1" t="e">
        <f ca="1">IF(OR(F89&lt;'Stats Summary'!$B$10,F89&gt;'Stats Summary'!$B$11),"Yes","No")</f>
        <v>#NAME?</v>
      </c>
      <c r="J89" s="1"/>
    </row>
    <row r="90" spans="1:10" x14ac:dyDescent="0.3">
      <c r="A90" s="1" t="s">
        <v>315</v>
      </c>
      <c r="B90" s="1" t="s">
        <v>157</v>
      </c>
      <c r="C90" s="1" t="s">
        <v>41</v>
      </c>
      <c r="D90" s="1" t="s">
        <v>159</v>
      </c>
      <c r="E90" s="4">
        <v>46254</v>
      </c>
      <c r="F90" s="1">
        <v>19</v>
      </c>
      <c r="G90" s="1">
        <v>3.3</v>
      </c>
      <c r="H90" s="1">
        <v>551.46</v>
      </c>
      <c r="I90" s="1" t="e">
        <f ca="1">IF(OR(F90&lt;'Stats Summary'!$B$10,F90&gt;'Stats Summary'!$B$11),"Yes","No")</f>
        <v>#NAME?</v>
      </c>
      <c r="J90" s="1"/>
    </row>
    <row r="91" spans="1:10" x14ac:dyDescent="0.3">
      <c r="A91" s="1" t="s">
        <v>316</v>
      </c>
      <c r="B91" s="1" t="s">
        <v>153</v>
      </c>
      <c r="C91" s="1" t="s">
        <v>41</v>
      </c>
      <c r="D91" s="1" t="s">
        <v>155</v>
      </c>
      <c r="E91" s="4">
        <v>46222</v>
      </c>
      <c r="F91" s="1">
        <v>33</v>
      </c>
      <c r="G91" s="1">
        <v>4.9000000000000004</v>
      </c>
      <c r="H91" s="1">
        <v>842.68</v>
      </c>
      <c r="I91" s="1" t="e">
        <f ca="1">IF(OR(F91&lt;'Stats Summary'!$B$10,F91&gt;'Stats Summary'!$B$11),"Yes","No")</f>
        <v>#NAME?</v>
      </c>
      <c r="J91" s="1"/>
    </row>
    <row r="92" spans="1:10" x14ac:dyDescent="0.3">
      <c r="A92" s="1" t="s">
        <v>317</v>
      </c>
      <c r="B92" s="1" t="s">
        <v>165</v>
      </c>
      <c r="C92" s="1" t="s">
        <v>35</v>
      </c>
      <c r="D92" s="1" t="s">
        <v>151</v>
      </c>
      <c r="E92" s="4">
        <v>46214</v>
      </c>
      <c r="F92" s="1">
        <v>39</v>
      </c>
      <c r="G92" s="1">
        <v>3.3</v>
      </c>
      <c r="H92" s="1">
        <v>242.73</v>
      </c>
      <c r="I92" s="1" t="e">
        <f ca="1">IF(OR(F92&lt;'Stats Summary'!$B$10,F92&gt;'Stats Summary'!$B$11),"Yes","No")</f>
        <v>#NAME?</v>
      </c>
      <c r="J92" s="1"/>
    </row>
    <row r="93" spans="1:10" x14ac:dyDescent="0.3">
      <c r="A93" s="1" t="s">
        <v>318</v>
      </c>
      <c r="B93" s="1" t="s">
        <v>149</v>
      </c>
      <c r="C93" s="1" t="s">
        <v>45</v>
      </c>
      <c r="D93" s="1" t="s">
        <v>151</v>
      </c>
      <c r="E93" s="4">
        <v>46220</v>
      </c>
      <c r="F93" s="1">
        <v>66</v>
      </c>
      <c r="G93" s="1">
        <v>3.7</v>
      </c>
      <c r="H93" s="1">
        <v>1340.41</v>
      </c>
      <c r="I93" s="1" t="e">
        <f ca="1">IF(OR(F93&lt;'Stats Summary'!$B$10,F93&gt;'Stats Summary'!$B$11),"Yes","No")</f>
        <v>#NAME?</v>
      </c>
      <c r="J93" s="1"/>
    </row>
    <row r="94" spans="1:10" x14ac:dyDescent="0.3">
      <c r="A94" s="1" t="s">
        <v>319</v>
      </c>
      <c r="B94" s="1" t="s">
        <v>160</v>
      </c>
      <c r="C94" s="1" t="s">
        <v>41</v>
      </c>
      <c r="D94" s="1" t="s">
        <v>162</v>
      </c>
      <c r="E94" s="4">
        <v>46240</v>
      </c>
      <c r="F94" s="1">
        <v>13</v>
      </c>
      <c r="G94" s="1">
        <v>4.0999999999999996</v>
      </c>
      <c r="H94" s="1">
        <v>1186</v>
      </c>
      <c r="I94" s="1" t="e">
        <f ca="1">IF(OR(F94&lt;'Stats Summary'!$B$10,F94&gt;'Stats Summary'!$B$11),"Yes","No")</f>
        <v>#NAME?</v>
      </c>
      <c r="J94" s="1"/>
    </row>
    <row r="95" spans="1:10" x14ac:dyDescent="0.3">
      <c r="A95" s="1" t="s">
        <v>320</v>
      </c>
      <c r="B95" s="1" t="s">
        <v>181</v>
      </c>
      <c r="C95" s="1" t="s">
        <v>38</v>
      </c>
      <c r="D95" s="1" t="s">
        <v>162</v>
      </c>
      <c r="E95" s="4">
        <v>46174</v>
      </c>
      <c r="F95" s="1">
        <v>29</v>
      </c>
      <c r="G95" s="1">
        <v>2.6</v>
      </c>
      <c r="H95" s="1">
        <v>581.29999999999995</v>
      </c>
      <c r="I95" s="1" t="e">
        <f ca="1">IF(OR(F95&lt;'Stats Summary'!$B$10,F95&gt;'Stats Summary'!$B$11),"Yes","No")</f>
        <v>#NAME?</v>
      </c>
      <c r="J95" s="1"/>
    </row>
    <row r="96" spans="1:10" x14ac:dyDescent="0.3">
      <c r="A96" s="1" t="s">
        <v>321</v>
      </c>
      <c r="B96" s="1" t="s">
        <v>153</v>
      </c>
      <c r="C96" s="1" t="s">
        <v>35</v>
      </c>
      <c r="D96" s="1" t="s">
        <v>155</v>
      </c>
      <c r="E96" s="4">
        <v>46237</v>
      </c>
      <c r="F96" s="1">
        <v>39</v>
      </c>
      <c r="G96" s="1">
        <v>3.8</v>
      </c>
      <c r="H96" s="1">
        <v>1623.86</v>
      </c>
      <c r="I96" s="1" t="e">
        <f ca="1">IF(OR(F96&lt;'Stats Summary'!$B$10,F96&gt;'Stats Summary'!$B$11),"Yes","No")</f>
        <v>#NAME?</v>
      </c>
      <c r="J96" s="1"/>
    </row>
    <row r="97" spans="1:10" x14ac:dyDescent="0.3">
      <c r="A97" s="1" t="s">
        <v>322</v>
      </c>
      <c r="B97" s="1" t="s">
        <v>160</v>
      </c>
      <c r="C97" s="1" t="s">
        <v>45</v>
      </c>
      <c r="D97" s="1" t="s">
        <v>162</v>
      </c>
      <c r="E97" s="4">
        <v>46262</v>
      </c>
      <c r="F97" s="1">
        <v>32</v>
      </c>
      <c r="G97" s="1">
        <v>4</v>
      </c>
      <c r="H97" s="1">
        <v>410.97</v>
      </c>
      <c r="I97" s="1" t="e">
        <f ca="1">IF(OR(F97&lt;'Stats Summary'!$B$10,F97&gt;'Stats Summary'!$B$11),"Yes","No")</f>
        <v>#NAME?</v>
      </c>
      <c r="J97" s="1"/>
    </row>
    <row r="98" spans="1:10" x14ac:dyDescent="0.3">
      <c r="A98" s="1" t="s">
        <v>323</v>
      </c>
      <c r="B98" s="1" t="s">
        <v>163</v>
      </c>
      <c r="C98" s="1" t="s">
        <v>31</v>
      </c>
      <c r="D98" s="1" t="s">
        <v>147</v>
      </c>
      <c r="E98" s="4">
        <v>46176</v>
      </c>
      <c r="F98" s="1">
        <v>41</v>
      </c>
      <c r="G98" s="1">
        <v>4.3</v>
      </c>
      <c r="H98" s="1">
        <v>413.32</v>
      </c>
      <c r="I98" s="1" t="e">
        <f ca="1">IF(OR(F98&lt;'Stats Summary'!$B$10,F98&gt;'Stats Summary'!$B$11),"Yes","No")</f>
        <v>#NAME?</v>
      </c>
      <c r="J98" s="1"/>
    </row>
    <row r="99" spans="1:10" x14ac:dyDescent="0.3">
      <c r="A99" s="1" t="s">
        <v>324</v>
      </c>
      <c r="B99" s="1" t="s">
        <v>160</v>
      </c>
      <c r="C99" s="1" t="s">
        <v>35</v>
      </c>
      <c r="D99" s="1" t="s">
        <v>162</v>
      </c>
      <c r="E99" s="4">
        <v>46180</v>
      </c>
      <c r="F99" s="1">
        <v>34</v>
      </c>
      <c r="G99" s="1">
        <v>5</v>
      </c>
      <c r="H99" s="1">
        <v>431.03</v>
      </c>
      <c r="I99" s="1" t="e">
        <f ca="1">IF(OR(F99&lt;'Stats Summary'!$B$10,F99&gt;'Stats Summary'!$B$11),"Yes","No")</f>
        <v>#NAME?</v>
      </c>
      <c r="J99" s="1"/>
    </row>
    <row r="100" spans="1:10" x14ac:dyDescent="0.3">
      <c r="A100" s="1" t="s">
        <v>325</v>
      </c>
      <c r="B100" s="1" t="s">
        <v>157</v>
      </c>
      <c r="C100" s="1" t="s">
        <v>35</v>
      </c>
      <c r="D100" s="1" t="s">
        <v>159</v>
      </c>
      <c r="E100" s="4">
        <v>46231</v>
      </c>
      <c r="F100" s="1">
        <v>32</v>
      </c>
      <c r="G100" s="1">
        <v>3.1</v>
      </c>
      <c r="H100" s="1">
        <v>911.36</v>
      </c>
      <c r="I100" s="1" t="e">
        <f ca="1">IF(OR(F100&lt;'Stats Summary'!$B$10,F100&gt;'Stats Summary'!$B$11),"Yes","No")</f>
        <v>#NAME?</v>
      </c>
      <c r="J100" s="1"/>
    </row>
    <row r="101" spans="1:10" x14ac:dyDescent="0.3">
      <c r="A101" s="1" t="s">
        <v>326</v>
      </c>
      <c r="B101" s="1" t="s">
        <v>173</v>
      </c>
      <c r="C101" s="1" t="s">
        <v>45</v>
      </c>
      <c r="D101" s="1" t="s">
        <v>147</v>
      </c>
      <c r="E101" s="4">
        <v>46184</v>
      </c>
      <c r="F101" s="1">
        <v>21</v>
      </c>
      <c r="G101" s="1">
        <v>4.4000000000000004</v>
      </c>
      <c r="H101" s="1">
        <v>650.74</v>
      </c>
      <c r="I101" s="1" t="e">
        <f ca="1">IF(OR(F101&lt;'Stats Summary'!$B$10,F101&gt;'Stats Summary'!$B$11),"Yes","No")</f>
        <v>#NAME?</v>
      </c>
      <c r="J101" s="1"/>
    </row>
    <row r="102" spans="1:10" x14ac:dyDescent="0.3">
      <c r="A102" s="1" t="s">
        <v>327</v>
      </c>
      <c r="B102" s="1" t="s">
        <v>149</v>
      </c>
      <c r="C102" s="1" t="s">
        <v>35</v>
      </c>
      <c r="D102" s="1" t="s">
        <v>151</v>
      </c>
      <c r="E102" s="4">
        <v>46209</v>
      </c>
      <c r="F102" s="1">
        <v>50</v>
      </c>
      <c r="G102" s="1">
        <v>4.0999999999999996</v>
      </c>
      <c r="H102" s="1">
        <v>478.04</v>
      </c>
      <c r="I102" s="1" t="e">
        <f ca="1">IF(OR(F102&lt;'Stats Summary'!$B$10,F102&gt;'Stats Summary'!$B$11),"Yes","No")</f>
        <v>#NAME?</v>
      </c>
      <c r="J102" s="1"/>
    </row>
    <row r="103" spans="1:10" x14ac:dyDescent="0.3">
      <c r="A103" s="1" t="s">
        <v>328</v>
      </c>
      <c r="B103" s="1" t="s">
        <v>177</v>
      </c>
      <c r="C103" s="1" t="s">
        <v>38</v>
      </c>
      <c r="D103" s="1" t="s">
        <v>155</v>
      </c>
      <c r="E103" s="4">
        <v>46257</v>
      </c>
      <c r="F103" s="1">
        <v>35</v>
      </c>
      <c r="G103" s="1">
        <v>4.3</v>
      </c>
      <c r="H103" s="1">
        <v>384.55</v>
      </c>
      <c r="I103" s="1" t="e">
        <f ca="1">IF(OR(F103&lt;'Stats Summary'!$B$10,F103&gt;'Stats Summary'!$B$11),"Yes","No")</f>
        <v>#NAME?</v>
      </c>
      <c r="J103" s="1"/>
    </row>
    <row r="104" spans="1:10" x14ac:dyDescent="0.3">
      <c r="A104" s="1" t="s">
        <v>329</v>
      </c>
      <c r="B104" s="1" t="s">
        <v>177</v>
      </c>
      <c r="C104" s="1" t="s">
        <v>31</v>
      </c>
      <c r="D104" s="1" t="s">
        <v>155</v>
      </c>
      <c r="E104" s="4">
        <v>46262</v>
      </c>
      <c r="F104" s="1">
        <v>42</v>
      </c>
      <c r="G104" s="1">
        <v>4.0999999999999996</v>
      </c>
      <c r="H104" s="1">
        <v>813.72</v>
      </c>
      <c r="I104" s="1" t="e">
        <f ca="1">IF(OR(F104&lt;'Stats Summary'!$B$10,F104&gt;'Stats Summary'!$B$11),"Yes","No")</f>
        <v>#NAME?</v>
      </c>
      <c r="J104" s="1"/>
    </row>
    <row r="105" spans="1:10" x14ac:dyDescent="0.3">
      <c r="A105" s="1" t="s">
        <v>330</v>
      </c>
      <c r="B105" s="1" t="s">
        <v>169</v>
      </c>
      <c r="C105" s="1" t="s">
        <v>41</v>
      </c>
      <c r="D105" s="1" t="s">
        <v>159</v>
      </c>
      <c r="E105" s="4">
        <v>46217</v>
      </c>
      <c r="F105" s="1">
        <v>30</v>
      </c>
      <c r="G105" s="1">
        <v>3.2</v>
      </c>
      <c r="H105" s="1">
        <v>1495.66</v>
      </c>
      <c r="I105" s="1" t="e">
        <f ca="1">IF(OR(F105&lt;'Stats Summary'!$B$10,F105&gt;'Stats Summary'!$B$11),"Yes","No")</f>
        <v>#NAME?</v>
      </c>
      <c r="J105" s="1"/>
    </row>
    <row r="106" spans="1:10" x14ac:dyDescent="0.3">
      <c r="A106" s="1" t="s">
        <v>331</v>
      </c>
      <c r="B106" s="1" t="s">
        <v>157</v>
      </c>
      <c r="C106" s="1" t="s">
        <v>45</v>
      </c>
      <c r="D106" s="1" t="s">
        <v>159</v>
      </c>
      <c r="E106" s="4">
        <v>46190</v>
      </c>
      <c r="F106" s="1">
        <v>44</v>
      </c>
      <c r="G106" s="1">
        <v>5</v>
      </c>
      <c r="H106" s="1">
        <v>999.73</v>
      </c>
      <c r="I106" s="1" t="e">
        <f ca="1">IF(OR(F106&lt;'Stats Summary'!$B$10,F106&gt;'Stats Summary'!$B$11),"Yes","No")</f>
        <v>#NAME?</v>
      </c>
      <c r="J106" s="1"/>
    </row>
    <row r="107" spans="1:10" x14ac:dyDescent="0.3">
      <c r="A107" s="1" t="s">
        <v>332</v>
      </c>
      <c r="B107" s="1" t="s">
        <v>171</v>
      </c>
      <c r="C107" s="1" t="s">
        <v>31</v>
      </c>
      <c r="D107" s="1" t="s">
        <v>162</v>
      </c>
      <c r="E107" s="4">
        <v>46259</v>
      </c>
      <c r="F107" s="1">
        <v>43</v>
      </c>
      <c r="G107" s="1">
        <v>4.9000000000000004</v>
      </c>
      <c r="H107" s="1">
        <v>716.88</v>
      </c>
      <c r="I107" s="1" t="e">
        <f ca="1">IF(OR(F107&lt;'Stats Summary'!$B$10,F107&gt;'Stats Summary'!$B$11),"Yes","No")</f>
        <v>#NAME?</v>
      </c>
      <c r="J107" s="1"/>
    </row>
    <row r="108" spans="1:10" x14ac:dyDescent="0.3">
      <c r="A108" s="1" t="s">
        <v>333</v>
      </c>
      <c r="B108" s="1" t="s">
        <v>165</v>
      </c>
      <c r="C108" s="1" t="s">
        <v>35</v>
      </c>
      <c r="D108" s="1" t="s">
        <v>151</v>
      </c>
      <c r="E108" s="4">
        <v>46244</v>
      </c>
      <c r="F108" s="1">
        <v>53</v>
      </c>
      <c r="G108" s="1">
        <v>3.2</v>
      </c>
      <c r="H108" s="1">
        <v>369.45</v>
      </c>
      <c r="I108" s="1" t="e">
        <f ca="1">IF(OR(F108&lt;'Stats Summary'!$B$10,F108&gt;'Stats Summary'!$B$11),"Yes","No")</f>
        <v>#NAME?</v>
      </c>
      <c r="J108" s="1"/>
    </row>
    <row r="109" spans="1:10" x14ac:dyDescent="0.3">
      <c r="A109" s="1" t="s">
        <v>334</v>
      </c>
      <c r="B109" s="1" t="s">
        <v>160</v>
      </c>
      <c r="C109" s="1" t="s">
        <v>41</v>
      </c>
      <c r="D109" s="1" t="s">
        <v>162</v>
      </c>
      <c r="E109" s="4">
        <v>46224</v>
      </c>
      <c r="F109" s="1">
        <v>36</v>
      </c>
      <c r="G109" s="1">
        <v>3.8</v>
      </c>
      <c r="H109" s="1">
        <v>819.59</v>
      </c>
      <c r="I109" s="1" t="e">
        <f ca="1">IF(OR(F109&lt;'Stats Summary'!$B$10,F109&gt;'Stats Summary'!$B$11),"Yes","No")</f>
        <v>#NAME?</v>
      </c>
      <c r="J109" s="1"/>
    </row>
    <row r="110" spans="1:10" x14ac:dyDescent="0.3">
      <c r="A110" s="1" t="s">
        <v>335</v>
      </c>
      <c r="B110" s="1" t="s">
        <v>173</v>
      </c>
      <c r="C110" s="1" t="s">
        <v>35</v>
      </c>
      <c r="D110" s="1" t="s">
        <v>147</v>
      </c>
      <c r="E110" s="4">
        <v>46231</v>
      </c>
      <c r="F110" s="1">
        <v>40</v>
      </c>
      <c r="G110" s="1">
        <v>3.6</v>
      </c>
      <c r="H110" s="1">
        <v>586.76</v>
      </c>
      <c r="I110" s="1" t="e">
        <f ca="1">IF(OR(F110&lt;'Stats Summary'!$B$10,F110&gt;'Stats Summary'!$B$11),"Yes","No")</f>
        <v>#NAME?</v>
      </c>
      <c r="J110" s="1"/>
    </row>
    <row r="111" spans="1:10" x14ac:dyDescent="0.3">
      <c r="A111" s="1" t="s">
        <v>336</v>
      </c>
      <c r="B111" s="1" t="s">
        <v>153</v>
      </c>
      <c r="C111" s="1" t="s">
        <v>31</v>
      </c>
      <c r="D111" s="1" t="s">
        <v>155</v>
      </c>
      <c r="E111" s="4">
        <v>46256</v>
      </c>
      <c r="F111" s="1">
        <v>34</v>
      </c>
      <c r="G111" s="1">
        <v>3.9</v>
      </c>
      <c r="H111" s="1">
        <v>293.35000000000002</v>
      </c>
      <c r="I111" s="1" t="e">
        <f ca="1">IF(OR(F111&lt;'Stats Summary'!$B$10,F111&gt;'Stats Summary'!$B$11),"Yes","No")</f>
        <v>#NAME?</v>
      </c>
      <c r="J111" s="1"/>
    </row>
    <row r="112" spans="1:10" x14ac:dyDescent="0.3">
      <c r="A112" s="1" t="s">
        <v>337</v>
      </c>
      <c r="B112" s="1" t="s">
        <v>169</v>
      </c>
      <c r="C112" s="1" t="s">
        <v>38</v>
      </c>
      <c r="D112" s="1" t="s">
        <v>159</v>
      </c>
      <c r="E112" s="4">
        <v>46231</v>
      </c>
      <c r="F112" s="1">
        <v>57</v>
      </c>
      <c r="G112" s="1">
        <v>4</v>
      </c>
      <c r="H112" s="1">
        <v>493.9</v>
      </c>
      <c r="I112" s="1" t="e">
        <f ca="1">IF(OR(F112&lt;'Stats Summary'!$B$10,F112&gt;'Stats Summary'!$B$11),"Yes","No")</f>
        <v>#NAME?</v>
      </c>
      <c r="J112" s="1"/>
    </row>
    <row r="113" spans="1:10" x14ac:dyDescent="0.3">
      <c r="A113" s="1" t="s">
        <v>338</v>
      </c>
      <c r="B113" s="1" t="s">
        <v>175</v>
      </c>
      <c r="C113" s="1" t="s">
        <v>38</v>
      </c>
      <c r="D113" s="1" t="s">
        <v>151</v>
      </c>
      <c r="E113" s="4">
        <v>46237</v>
      </c>
      <c r="F113" s="1">
        <v>57</v>
      </c>
      <c r="G113" s="1">
        <v>4.9000000000000004</v>
      </c>
      <c r="H113" s="1">
        <v>427.39</v>
      </c>
      <c r="I113" s="1" t="e">
        <f ca="1">IF(OR(F113&lt;'Stats Summary'!$B$10,F113&gt;'Stats Summary'!$B$11),"Yes","No")</f>
        <v>#NAME?</v>
      </c>
      <c r="J113" s="1"/>
    </row>
    <row r="114" spans="1:10" x14ac:dyDescent="0.3">
      <c r="A114" s="1" t="s">
        <v>339</v>
      </c>
      <c r="B114" s="1" t="s">
        <v>181</v>
      </c>
      <c r="C114" s="1" t="s">
        <v>38</v>
      </c>
      <c r="D114" s="1" t="s">
        <v>162</v>
      </c>
      <c r="E114" s="4">
        <v>46227</v>
      </c>
      <c r="F114" s="1">
        <v>29</v>
      </c>
      <c r="G114" s="1">
        <v>5</v>
      </c>
      <c r="H114" s="1">
        <v>199.6</v>
      </c>
      <c r="I114" s="1" t="e">
        <f ca="1">IF(OR(F114&lt;'Stats Summary'!$B$10,F114&gt;'Stats Summary'!$B$11),"Yes","No")</f>
        <v>#NAME?</v>
      </c>
      <c r="J114" s="1"/>
    </row>
    <row r="115" spans="1:10" x14ac:dyDescent="0.3">
      <c r="A115" s="1" t="s">
        <v>340</v>
      </c>
      <c r="B115" s="1" t="s">
        <v>169</v>
      </c>
      <c r="C115" s="1" t="s">
        <v>35</v>
      </c>
      <c r="D115" s="1" t="s">
        <v>159</v>
      </c>
      <c r="E115" s="4">
        <v>46191</v>
      </c>
      <c r="F115" s="1">
        <v>43</v>
      </c>
      <c r="G115" s="1">
        <v>3.9</v>
      </c>
      <c r="H115" s="1">
        <v>691.46</v>
      </c>
      <c r="I115" s="1" t="e">
        <f ca="1">IF(OR(F115&lt;'Stats Summary'!$B$10,F115&gt;'Stats Summary'!$B$11),"Yes","No")</f>
        <v>#NAME?</v>
      </c>
      <c r="J115" s="1"/>
    </row>
    <row r="116" spans="1:10" x14ac:dyDescent="0.3">
      <c r="A116" s="1" t="s">
        <v>341</v>
      </c>
      <c r="B116" s="1" t="s">
        <v>171</v>
      </c>
      <c r="C116" s="1" t="s">
        <v>41</v>
      </c>
      <c r="D116" s="1" t="s">
        <v>162</v>
      </c>
      <c r="E116" s="4">
        <v>46223</v>
      </c>
      <c r="F116" s="1">
        <v>47</v>
      </c>
      <c r="G116" s="1">
        <v>4</v>
      </c>
      <c r="H116" s="1">
        <v>372.62</v>
      </c>
      <c r="I116" s="1" t="e">
        <f ca="1">IF(OR(F116&lt;'Stats Summary'!$B$10,F116&gt;'Stats Summary'!$B$11),"Yes","No")</f>
        <v>#NAME?</v>
      </c>
      <c r="J116" s="1"/>
    </row>
    <row r="117" spans="1:10" x14ac:dyDescent="0.3">
      <c r="A117" s="1" t="s">
        <v>342</v>
      </c>
      <c r="B117" s="1" t="s">
        <v>157</v>
      </c>
      <c r="C117" s="1" t="s">
        <v>35</v>
      </c>
      <c r="D117" s="1" t="s">
        <v>159</v>
      </c>
      <c r="E117" s="4">
        <v>46181</v>
      </c>
      <c r="F117" s="1">
        <v>62</v>
      </c>
      <c r="G117" s="1">
        <v>3.7</v>
      </c>
      <c r="H117" s="1">
        <v>1094.21</v>
      </c>
      <c r="I117" s="1" t="e">
        <f ca="1">IF(OR(F117&lt;'Stats Summary'!$B$10,F117&gt;'Stats Summary'!$B$11),"Yes","No")</f>
        <v>#NAME?</v>
      </c>
      <c r="J117" s="1"/>
    </row>
    <row r="118" spans="1:10" x14ac:dyDescent="0.3">
      <c r="A118" s="1" t="s">
        <v>343</v>
      </c>
      <c r="B118" s="1" t="s">
        <v>181</v>
      </c>
      <c r="C118" s="1" t="s">
        <v>35</v>
      </c>
      <c r="D118" s="1" t="s">
        <v>162</v>
      </c>
      <c r="E118" s="4">
        <v>46196</v>
      </c>
      <c r="F118" s="1">
        <v>58</v>
      </c>
      <c r="G118" s="1">
        <v>3.1</v>
      </c>
      <c r="H118" s="1">
        <v>1018.09</v>
      </c>
      <c r="I118" s="1" t="e">
        <f ca="1">IF(OR(F118&lt;'Stats Summary'!$B$10,F118&gt;'Stats Summary'!$B$11),"Yes","No")</f>
        <v>#NAME?</v>
      </c>
      <c r="J118" s="1"/>
    </row>
    <row r="119" spans="1:10" x14ac:dyDescent="0.3">
      <c r="A119" s="1" t="s">
        <v>344</v>
      </c>
      <c r="B119" s="1" t="s">
        <v>157</v>
      </c>
      <c r="C119" s="1" t="s">
        <v>31</v>
      </c>
      <c r="D119" s="1" t="s">
        <v>159</v>
      </c>
      <c r="E119" s="4">
        <v>46261</v>
      </c>
      <c r="F119" s="1">
        <v>42</v>
      </c>
      <c r="G119" s="1">
        <v>4.5999999999999996</v>
      </c>
      <c r="H119" s="1">
        <v>702.79</v>
      </c>
      <c r="I119" s="1" t="e">
        <f ca="1">IF(OR(F119&lt;'Stats Summary'!$B$10,F119&gt;'Stats Summary'!$B$11),"Yes","No")</f>
        <v>#NAME?</v>
      </c>
      <c r="J119" s="1"/>
    </row>
    <row r="120" spans="1:10" x14ac:dyDescent="0.3">
      <c r="A120" s="1" t="s">
        <v>345</v>
      </c>
      <c r="B120" s="1" t="s">
        <v>177</v>
      </c>
      <c r="C120" s="1" t="s">
        <v>31</v>
      </c>
      <c r="D120" s="1" t="s">
        <v>155</v>
      </c>
      <c r="E120" s="4">
        <v>46260</v>
      </c>
      <c r="F120" s="1">
        <v>52</v>
      </c>
      <c r="G120" s="1">
        <v>3.6</v>
      </c>
      <c r="H120" s="1">
        <v>587.98</v>
      </c>
      <c r="I120" s="1" t="e">
        <f ca="1">IF(OR(F120&lt;'Stats Summary'!$B$10,F120&gt;'Stats Summary'!$B$11),"Yes","No")</f>
        <v>#NAME?</v>
      </c>
      <c r="J120" s="1"/>
    </row>
    <row r="121" spans="1:10" x14ac:dyDescent="0.3">
      <c r="A121" s="1" t="s">
        <v>346</v>
      </c>
      <c r="B121" s="1" t="s">
        <v>153</v>
      </c>
      <c r="C121" s="1" t="s">
        <v>45</v>
      </c>
      <c r="D121" s="1" t="s">
        <v>155</v>
      </c>
      <c r="E121" s="4">
        <v>46185</v>
      </c>
      <c r="F121" s="1">
        <v>42</v>
      </c>
      <c r="G121" s="1">
        <v>3.9</v>
      </c>
      <c r="H121" s="1">
        <v>1173.98</v>
      </c>
      <c r="I121" s="1" t="e">
        <f ca="1">IF(OR(F121&lt;'Stats Summary'!$B$10,F121&gt;'Stats Summary'!$B$11),"Yes","No")</f>
        <v>#NAME?</v>
      </c>
      <c r="J121" s="1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35" customWidth="1"/>
  </cols>
  <sheetData>
    <row r="1" spans="1:2" x14ac:dyDescent="0.3">
      <c r="A1" s="2" t="s">
        <v>367</v>
      </c>
      <c r="B1" s="2" t="s">
        <v>368</v>
      </c>
    </row>
    <row r="2" spans="1:2" x14ac:dyDescent="0.3">
      <c r="A2" s="1" t="s">
        <v>369</v>
      </c>
      <c r="B2" s="1">
        <f>AVERAGE('Task 4 Orders'!F2:F121)</f>
        <v>36.325000000000003</v>
      </c>
    </row>
    <row r="3" spans="1:2" x14ac:dyDescent="0.3">
      <c r="A3" s="1" t="s">
        <v>370</v>
      </c>
      <c r="B3" s="1">
        <f>MEDIAN('Task 4 Orders'!F2:F121)</f>
        <v>38</v>
      </c>
    </row>
    <row r="4" spans="1:2" x14ac:dyDescent="0.3">
      <c r="A4" s="1" t="s">
        <v>371</v>
      </c>
      <c r="B4" s="1" t="e">
        <f ca="1">_xludf.MODE.SNGL('Task 4 Orders'!F2:F121)</f>
        <v>#NAME?</v>
      </c>
    </row>
    <row r="5" spans="1:2" x14ac:dyDescent="0.3">
      <c r="A5" s="1" t="s">
        <v>372</v>
      </c>
      <c r="B5" s="1" t="e">
        <f ca="1">_xludf.STDEV.S('Task 4 Orders'!F2:F121)</f>
        <v>#NAME?</v>
      </c>
    </row>
    <row r="6" spans="1:2" x14ac:dyDescent="0.3">
      <c r="A6" s="1" t="s">
        <v>373</v>
      </c>
      <c r="B6" s="1" t="e">
        <f ca="1">_xludf.VAR.S('Task 4 Orders'!F2:F121)</f>
        <v>#NAME?</v>
      </c>
    </row>
    <row r="7" spans="1:2" x14ac:dyDescent="0.3">
      <c r="A7" s="1" t="s">
        <v>374</v>
      </c>
      <c r="B7" s="1">
        <f>MIN('Task 4 Orders'!F2:F121)</f>
        <v>8</v>
      </c>
    </row>
    <row r="8" spans="1:2" x14ac:dyDescent="0.3">
      <c r="A8" s="1" t="s">
        <v>375</v>
      </c>
      <c r="B8" s="1">
        <f>MAX('Task 4 Orders'!F2:F121)</f>
        <v>68</v>
      </c>
    </row>
    <row r="9" spans="1:2" x14ac:dyDescent="0.3">
      <c r="A9" s="1" t="s">
        <v>9</v>
      </c>
      <c r="B9" s="1" t="e">
        <f ca="1">_xludf.QUARTILE.INC('Task 4 Orders'!F2:F121,1)</f>
        <v>#NAME?</v>
      </c>
    </row>
    <row r="10" spans="1:2" x14ac:dyDescent="0.3">
      <c r="A10" s="1" t="s">
        <v>13</v>
      </c>
      <c r="B10" s="1" t="e">
        <f ca="1">_xludf.QUARTILE.INC('Task 4 Orders'!F2:F121,3)</f>
        <v>#NAME?</v>
      </c>
    </row>
    <row r="11" spans="1:2" x14ac:dyDescent="0.3">
      <c r="A11" s="1" t="s">
        <v>376</v>
      </c>
      <c r="B11" s="1" t="e">
        <f ca="1">B9-1.5*(B10-B9)</f>
        <v>#NAME?</v>
      </c>
    </row>
    <row r="12" spans="1:2" x14ac:dyDescent="0.3">
      <c r="A12" s="1" t="s">
        <v>377</v>
      </c>
      <c r="B12" s="1" t="e">
        <f ca="1">B10+1.5*(B10-B9)</f>
        <v>#NAME?</v>
      </c>
    </row>
    <row r="13" spans="1:2" x14ac:dyDescent="0.3">
      <c r="A13" s="1" t="s">
        <v>378</v>
      </c>
      <c r="B13" s="1" t="e">
        <f ca="1">B10-B9</f>
        <v>#NAME?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1" x14ac:dyDescent="0.3">
      <c r="A1" s="2" t="s">
        <v>21</v>
      </c>
      <c r="B1" s="2" t="s">
        <v>140</v>
      </c>
      <c r="C1" s="2" t="s">
        <v>23</v>
      </c>
      <c r="D1" s="2" t="s">
        <v>142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141</v>
      </c>
      <c r="K1" s="2" t="s">
        <v>143</v>
      </c>
    </row>
    <row r="2" spans="1:11" x14ac:dyDescent="0.3">
      <c r="A2" s="1" t="s">
        <v>227</v>
      </c>
      <c r="B2" s="1" t="s">
        <v>145</v>
      </c>
      <c r="C2" s="1" t="s">
        <v>38</v>
      </c>
      <c r="D2" s="1" t="s">
        <v>147</v>
      </c>
      <c r="E2" s="4">
        <v>46174</v>
      </c>
      <c r="F2" s="1">
        <v>18</v>
      </c>
      <c r="G2" s="1">
        <v>5</v>
      </c>
      <c r="H2" s="1">
        <v>591.36</v>
      </c>
      <c r="I2" s="1" t="s">
        <v>32</v>
      </c>
      <c r="J2" s="1" t="e">
        <f ca="1">_xludf.XLOOKUP(B2,Restaurants!$A$2:$A$16,Restaurants!$B$2:$B$16,"Unknown")</f>
        <v>#NAME?</v>
      </c>
      <c r="K2" s="1" t="e">
        <f ca="1">_xludf.XLOOKUP(B2,Restaurants!$A$2:$A$16,Restaurants!$D$2:$D$16,"Unknown")</f>
        <v>#NAME?</v>
      </c>
    </row>
    <row r="3" spans="1:11" x14ac:dyDescent="0.3">
      <c r="A3" s="1" t="s">
        <v>228</v>
      </c>
      <c r="B3" s="1" t="s">
        <v>160</v>
      </c>
      <c r="C3" s="1" t="s">
        <v>45</v>
      </c>
      <c r="D3" s="1" t="s">
        <v>162</v>
      </c>
      <c r="E3" s="4">
        <v>46182</v>
      </c>
      <c r="F3" s="1">
        <v>47</v>
      </c>
      <c r="G3" s="1">
        <v>3.8</v>
      </c>
      <c r="H3" s="1">
        <v>393.81</v>
      </c>
      <c r="I3" s="1" t="s">
        <v>32</v>
      </c>
      <c r="J3" s="1" t="e">
        <f ca="1">_xludf.XLOOKUP(B3,Restaurants!$A$2:$A$16,Restaurants!$B$2:$B$16,"Unknown")</f>
        <v>#NAME?</v>
      </c>
      <c r="K3" s="1" t="e">
        <f ca="1">_xludf.XLOOKUP(B3,Restaurants!$A$2:$A$16,Restaurants!$D$2:$D$16,"Unknown")</f>
        <v>#NAME?</v>
      </c>
    </row>
    <row r="4" spans="1:11" x14ac:dyDescent="0.3">
      <c r="A4" s="1" t="s">
        <v>229</v>
      </c>
      <c r="B4" s="1" t="s">
        <v>157</v>
      </c>
      <c r="C4" s="1" t="s">
        <v>38</v>
      </c>
      <c r="D4" s="1" t="s">
        <v>159</v>
      </c>
      <c r="E4" s="4">
        <v>46258</v>
      </c>
      <c r="F4" s="1">
        <v>22</v>
      </c>
      <c r="G4" s="1">
        <v>4.3</v>
      </c>
      <c r="H4" s="1">
        <v>1024.3</v>
      </c>
      <c r="I4" s="1" t="s">
        <v>32</v>
      </c>
      <c r="J4" s="1" t="e">
        <f ca="1">_xludf.XLOOKUP(B4,Restaurants!$A$2:$A$16,Restaurants!$B$2:$B$16,"Unknown")</f>
        <v>#NAME?</v>
      </c>
      <c r="K4" s="1" t="e">
        <f ca="1">_xludf.XLOOKUP(B4,Restaurants!$A$2:$A$16,Restaurants!$D$2:$D$16,"Unknown")</f>
        <v>#NAME?</v>
      </c>
    </row>
    <row r="5" spans="1:11" x14ac:dyDescent="0.3">
      <c r="A5" s="1" t="s">
        <v>230</v>
      </c>
      <c r="B5" s="1" t="s">
        <v>173</v>
      </c>
      <c r="C5" s="1" t="s">
        <v>45</v>
      </c>
      <c r="D5" s="1" t="s">
        <v>147</v>
      </c>
      <c r="E5" s="4">
        <v>46191</v>
      </c>
      <c r="F5" s="1">
        <v>25</v>
      </c>
      <c r="G5" s="1">
        <v>3.6</v>
      </c>
      <c r="H5" s="1">
        <v>1229.33</v>
      </c>
      <c r="I5" s="1" t="s">
        <v>32</v>
      </c>
      <c r="J5" s="1" t="e">
        <f ca="1">_xludf.XLOOKUP(B5,Restaurants!$A$2:$A$16,Restaurants!$B$2:$B$16,"Unknown")</f>
        <v>#NAME?</v>
      </c>
      <c r="K5" s="1" t="e">
        <f ca="1">_xludf.XLOOKUP(B5,Restaurants!$A$2:$A$16,Restaurants!$D$2:$D$16,"Unknown")</f>
        <v>#NAME?</v>
      </c>
    </row>
    <row r="6" spans="1:11" x14ac:dyDescent="0.3">
      <c r="A6" s="1" t="s">
        <v>231</v>
      </c>
      <c r="B6" s="1" t="s">
        <v>149</v>
      </c>
      <c r="C6" s="1" t="s">
        <v>35</v>
      </c>
      <c r="D6" s="1" t="s">
        <v>151</v>
      </c>
      <c r="E6" s="4">
        <v>46205</v>
      </c>
      <c r="F6" s="1">
        <v>55</v>
      </c>
      <c r="G6" s="1">
        <v>4.3</v>
      </c>
      <c r="H6" s="1">
        <v>920.72</v>
      </c>
      <c r="I6" s="1" t="s">
        <v>32</v>
      </c>
      <c r="J6" s="1" t="e">
        <f ca="1">_xludf.XLOOKUP(B6,Restaurants!$A$2:$A$16,Restaurants!$B$2:$B$16,"Unknown")</f>
        <v>#NAME?</v>
      </c>
      <c r="K6" s="1" t="e">
        <f ca="1">_xludf.XLOOKUP(B6,Restaurants!$A$2:$A$16,Restaurants!$D$2:$D$16,"Unknown")</f>
        <v>#NAME?</v>
      </c>
    </row>
    <row r="7" spans="1:11" x14ac:dyDescent="0.3">
      <c r="A7" s="1" t="s">
        <v>232</v>
      </c>
      <c r="B7" s="1" t="s">
        <v>149</v>
      </c>
      <c r="C7" s="1" t="s">
        <v>31</v>
      </c>
      <c r="D7" s="1" t="s">
        <v>151</v>
      </c>
      <c r="E7" s="4">
        <v>46194</v>
      </c>
      <c r="F7" s="1">
        <v>19</v>
      </c>
      <c r="G7" s="1">
        <v>3.9</v>
      </c>
      <c r="H7" s="1">
        <v>886.44</v>
      </c>
      <c r="I7" s="1" t="s">
        <v>32</v>
      </c>
      <c r="J7" s="1" t="e">
        <f ca="1">_xludf.XLOOKUP(B7,Restaurants!$A$2:$A$16,Restaurants!$B$2:$B$16,"Unknown")</f>
        <v>#NAME?</v>
      </c>
      <c r="K7" s="1" t="e">
        <f ca="1">_xludf.XLOOKUP(B7,Restaurants!$A$2:$A$16,Restaurants!$D$2:$D$16,"Unknown")</f>
        <v>#NAME?</v>
      </c>
    </row>
    <row r="8" spans="1:11" x14ac:dyDescent="0.3">
      <c r="A8" s="1" t="s">
        <v>233</v>
      </c>
      <c r="B8" s="1" t="s">
        <v>171</v>
      </c>
      <c r="C8" s="1" t="s">
        <v>35</v>
      </c>
      <c r="D8" s="1" t="s">
        <v>162</v>
      </c>
      <c r="E8" s="4">
        <v>46222</v>
      </c>
      <c r="F8" s="1">
        <v>27</v>
      </c>
      <c r="G8" s="1">
        <v>4.0999999999999996</v>
      </c>
      <c r="H8" s="1">
        <v>483.95</v>
      </c>
      <c r="I8" s="1" t="s">
        <v>32</v>
      </c>
      <c r="J8" s="1" t="e">
        <f ca="1">_xludf.XLOOKUP(B8,Restaurants!$A$2:$A$16,Restaurants!$B$2:$B$16,"Unknown")</f>
        <v>#NAME?</v>
      </c>
      <c r="K8" s="1" t="e">
        <f ca="1">_xludf.XLOOKUP(B8,Restaurants!$A$2:$A$16,Restaurants!$D$2:$D$16,"Unknown")</f>
        <v>#NAME?</v>
      </c>
    </row>
    <row r="9" spans="1:11" x14ac:dyDescent="0.3">
      <c r="A9" s="1" t="s">
        <v>234</v>
      </c>
      <c r="B9" s="1" t="s">
        <v>177</v>
      </c>
      <c r="C9" s="1" t="s">
        <v>35</v>
      </c>
      <c r="D9" s="1" t="s">
        <v>155</v>
      </c>
      <c r="E9" s="4">
        <v>46265</v>
      </c>
      <c r="F9" s="1">
        <v>42</v>
      </c>
      <c r="G9" s="1">
        <v>4.2</v>
      </c>
      <c r="H9" s="1">
        <v>1392.7</v>
      </c>
      <c r="I9" s="1" t="s">
        <v>32</v>
      </c>
      <c r="J9" s="1" t="e">
        <f ca="1">_xludf.XLOOKUP(B9,Restaurants!$A$2:$A$16,Restaurants!$B$2:$B$16,"Unknown")</f>
        <v>#NAME?</v>
      </c>
      <c r="K9" s="1" t="e">
        <f ca="1">_xludf.XLOOKUP(B9,Restaurants!$A$2:$A$16,Restaurants!$D$2:$D$16,"Unknown")</f>
        <v>#NAME?</v>
      </c>
    </row>
    <row r="10" spans="1:11" x14ac:dyDescent="0.3">
      <c r="A10" s="1" t="s">
        <v>235</v>
      </c>
      <c r="B10" s="1" t="s">
        <v>153</v>
      </c>
      <c r="C10" s="1" t="s">
        <v>45</v>
      </c>
      <c r="D10" s="1" t="s">
        <v>155</v>
      </c>
      <c r="E10" s="4">
        <v>46236</v>
      </c>
      <c r="F10" s="1">
        <v>42</v>
      </c>
      <c r="G10" s="1">
        <v>3.9</v>
      </c>
      <c r="H10" s="1">
        <v>1799.1</v>
      </c>
      <c r="I10" s="1" t="s">
        <v>32</v>
      </c>
      <c r="J10" s="1" t="e">
        <f ca="1">_xludf.XLOOKUP(B10,Restaurants!$A$2:$A$16,Restaurants!$B$2:$B$16,"Unknown")</f>
        <v>#NAME?</v>
      </c>
      <c r="K10" s="1" t="e">
        <f ca="1">_xludf.XLOOKUP(B10,Restaurants!$A$2:$A$16,Restaurants!$D$2:$D$16,"Unknown")</f>
        <v>#NAME?</v>
      </c>
    </row>
    <row r="11" spans="1:11" x14ac:dyDescent="0.3">
      <c r="A11" s="1" t="s">
        <v>236</v>
      </c>
      <c r="B11" s="1" t="s">
        <v>160</v>
      </c>
      <c r="C11" s="1" t="s">
        <v>45</v>
      </c>
      <c r="D11" s="1" t="s">
        <v>162</v>
      </c>
      <c r="E11" s="4">
        <v>46209</v>
      </c>
      <c r="F11" s="1">
        <v>41</v>
      </c>
      <c r="G11" s="1">
        <v>3.1</v>
      </c>
      <c r="H11" s="1">
        <v>405.49</v>
      </c>
      <c r="I11" s="1" t="s">
        <v>32</v>
      </c>
      <c r="J11" s="1" t="e">
        <f ca="1">_xludf.XLOOKUP(B11,Restaurants!$A$2:$A$16,Restaurants!$B$2:$B$16,"Unknown")</f>
        <v>#NAME?</v>
      </c>
      <c r="K11" s="1" t="e">
        <f ca="1">_xludf.XLOOKUP(B11,Restaurants!$A$2:$A$16,Restaurants!$D$2:$D$16,"Unknown")</f>
        <v>#NAME?</v>
      </c>
    </row>
    <row r="12" spans="1:11" x14ac:dyDescent="0.3">
      <c r="A12" s="1" t="s">
        <v>237</v>
      </c>
      <c r="B12" s="1" t="s">
        <v>145</v>
      </c>
      <c r="C12" s="1" t="s">
        <v>45</v>
      </c>
      <c r="D12" s="1" t="s">
        <v>147</v>
      </c>
      <c r="E12" s="4">
        <v>46180</v>
      </c>
      <c r="F12" s="1">
        <v>40</v>
      </c>
      <c r="G12" s="1">
        <v>4</v>
      </c>
      <c r="H12" s="1">
        <v>1398.34</v>
      </c>
      <c r="I12" s="1" t="s">
        <v>32</v>
      </c>
      <c r="J12" s="1" t="e">
        <f ca="1">_xludf.XLOOKUP(B12,Restaurants!$A$2:$A$16,Restaurants!$B$2:$B$16,"Unknown")</f>
        <v>#NAME?</v>
      </c>
      <c r="K12" s="1" t="e">
        <f ca="1">_xludf.XLOOKUP(B12,Restaurants!$A$2:$A$16,Restaurants!$D$2:$D$16,"Unknown")</f>
        <v>#NAME?</v>
      </c>
    </row>
    <row r="13" spans="1:11" x14ac:dyDescent="0.3">
      <c r="A13" s="1" t="s">
        <v>238</v>
      </c>
      <c r="B13" s="1" t="s">
        <v>145</v>
      </c>
      <c r="C13" s="1" t="s">
        <v>35</v>
      </c>
      <c r="D13" s="1" t="s">
        <v>147</v>
      </c>
      <c r="E13" s="4">
        <v>46256</v>
      </c>
      <c r="F13" s="1">
        <v>62</v>
      </c>
      <c r="G13" s="1">
        <v>3</v>
      </c>
      <c r="H13" s="1">
        <v>469.43</v>
      </c>
      <c r="I13" s="1" t="s">
        <v>90</v>
      </c>
      <c r="J13" s="1" t="e">
        <f ca="1">_xludf.XLOOKUP(B13,Restaurants!$A$2:$A$16,Restaurants!$B$2:$B$16,"Unknown")</f>
        <v>#NAME?</v>
      </c>
      <c r="K13" s="1" t="e">
        <f ca="1">_xludf.XLOOKUP(B13,Restaurants!$A$2:$A$16,Restaurants!$D$2:$D$16,"Unknown")</f>
        <v>#NAME?</v>
      </c>
    </row>
    <row r="14" spans="1:11" x14ac:dyDescent="0.3">
      <c r="A14" s="1" t="s">
        <v>239</v>
      </c>
      <c r="B14" s="1" t="s">
        <v>179</v>
      </c>
      <c r="C14" s="1" t="s">
        <v>31</v>
      </c>
      <c r="D14" s="1" t="s">
        <v>159</v>
      </c>
      <c r="E14" s="4">
        <v>46208</v>
      </c>
      <c r="F14" s="1">
        <v>33</v>
      </c>
      <c r="G14" s="1">
        <v>3.8</v>
      </c>
      <c r="H14" s="1">
        <v>1150.9000000000001</v>
      </c>
      <c r="I14" s="1" t="s">
        <v>32</v>
      </c>
      <c r="J14" s="1" t="e">
        <f ca="1">_xludf.XLOOKUP(B14,Restaurants!$A$2:$A$16,Restaurants!$B$2:$B$16,"Unknown")</f>
        <v>#NAME?</v>
      </c>
      <c r="K14" s="1" t="e">
        <f ca="1">_xludf.XLOOKUP(B14,Restaurants!$A$2:$A$16,Restaurants!$D$2:$D$16,"Unknown")</f>
        <v>#NAME?</v>
      </c>
    </row>
    <row r="15" spans="1:11" x14ac:dyDescent="0.3">
      <c r="A15" s="1" t="s">
        <v>240</v>
      </c>
      <c r="B15" s="1" t="s">
        <v>171</v>
      </c>
      <c r="C15" s="1" t="s">
        <v>45</v>
      </c>
      <c r="D15" s="1" t="s">
        <v>162</v>
      </c>
      <c r="E15" s="4">
        <v>46248</v>
      </c>
      <c r="F15" s="1">
        <v>26</v>
      </c>
      <c r="G15" s="1">
        <v>4.3</v>
      </c>
      <c r="H15" s="1">
        <v>889.4</v>
      </c>
      <c r="I15" s="1" t="s">
        <v>42</v>
      </c>
      <c r="J15" s="1" t="e">
        <f ca="1">_xludf.XLOOKUP(B15,Restaurants!$A$2:$A$16,Restaurants!$B$2:$B$16,"Unknown")</f>
        <v>#NAME?</v>
      </c>
      <c r="K15" s="1" t="e">
        <f ca="1">_xludf.XLOOKUP(B15,Restaurants!$A$2:$A$16,Restaurants!$D$2:$D$16,"Unknown")</f>
        <v>#NAME?</v>
      </c>
    </row>
    <row r="16" spans="1:11" x14ac:dyDescent="0.3">
      <c r="A16" s="1" t="s">
        <v>241</v>
      </c>
      <c r="B16" s="1" t="s">
        <v>177</v>
      </c>
      <c r="C16" s="1" t="s">
        <v>45</v>
      </c>
      <c r="D16" s="1" t="s">
        <v>155</v>
      </c>
      <c r="E16" s="4">
        <v>46206</v>
      </c>
      <c r="F16" s="1">
        <v>40</v>
      </c>
      <c r="G16" s="1">
        <v>4.2</v>
      </c>
      <c r="H16" s="1">
        <v>302.63</v>
      </c>
      <c r="I16" s="1" t="s">
        <v>32</v>
      </c>
      <c r="J16" s="1" t="e">
        <f ca="1">_xludf.XLOOKUP(B16,Restaurants!$A$2:$A$16,Restaurants!$B$2:$B$16,"Unknown")</f>
        <v>#NAME?</v>
      </c>
      <c r="K16" s="1" t="e">
        <f ca="1">_xludf.XLOOKUP(B16,Restaurants!$A$2:$A$16,Restaurants!$D$2:$D$16,"Unknown")</f>
        <v>#NAME?</v>
      </c>
    </row>
    <row r="17" spans="1:11" x14ac:dyDescent="0.3">
      <c r="A17" s="1" t="s">
        <v>242</v>
      </c>
      <c r="B17" s="1" t="s">
        <v>165</v>
      </c>
      <c r="C17" s="1" t="s">
        <v>41</v>
      </c>
      <c r="D17" s="1" t="s">
        <v>151</v>
      </c>
      <c r="E17" s="4">
        <v>46231</v>
      </c>
      <c r="F17" s="1">
        <v>15</v>
      </c>
      <c r="G17" s="1">
        <v>3.8</v>
      </c>
      <c r="H17" s="1">
        <v>762.31</v>
      </c>
      <c r="I17" s="1" t="s">
        <v>42</v>
      </c>
      <c r="J17" s="1" t="e">
        <f ca="1">_xludf.XLOOKUP(B17,Restaurants!$A$2:$A$16,Restaurants!$B$2:$B$16,"Unknown")</f>
        <v>#NAME?</v>
      </c>
      <c r="K17" s="1" t="e">
        <f ca="1">_xludf.XLOOKUP(B17,Restaurants!$A$2:$A$16,Restaurants!$D$2:$D$16,"Unknown")</f>
        <v>#NAME?</v>
      </c>
    </row>
    <row r="18" spans="1:11" x14ac:dyDescent="0.3">
      <c r="A18" s="1" t="s">
        <v>243</v>
      </c>
      <c r="B18" s="1" t="s">
        <v>179</v>
      </c>
      <c r="C18" s="1" t="s">
        <v>45</v>
      </c>
      <c r="D18" s="1" t="s">
        <v>159</v>
      </c>
      <c r="E18" s="4">
        <v>46227</v>
      </c>
      <c r="F18" s="1">
        <v>31</v>
      </c>
      <c r="G18" s="1">
        <v>3.9</v>
      </c>
      <c r="H18" s="1">
        <v>241.56</v>
      </c>
      <c r="I18" s="1" t="s">
        <v>32</v>
      </c>
      <c r="J18" s="1" t="e">
        <f ca="1">_xludf.XLOOKUP(B18,Restaurants!$A$2:$A$16,Restaurants!$B$2:$B$16,"Unknown")</f>
        <v>#NAME?</v>
      </c>
      <c r="K18" s="1" t="e">
        <f ca="1">_xludf.XLOOKUP(B18,Restaurants!$A$2:$A$16,Restaurants!$D$2:$D$16,"Unknown")</f>
        <v>#NAME?</v>
      </c>
    </row>
    <row r="19" spans="1:11" x14ac:dyDescent="0.3">
      <c r="A19" s="1" t="s">
        <v>244</v>
      </c>
      <c r="B19" s="1" t="s">
        <v>179</v>
      </c>
      <c r="C19" s="1" t="s">
        <v>45</v>
      </c>
      <c r="D19" s="1" t="s">
        <v>159</v>
      </c>
      <c r="E19" s="4">
        <v>46255</v>
      </c>
      <c r="F19" s="1">
        <v>41</v>
      </c>
      <c r="G19" s="1">
        <v>4.7</v>
      </c>
      <c r="H19" s="1">
        <v>211.9</v>
      </c>
      <c r="I19" s="1" t="s">
        <v>32</v>
      </c>
      <c r="J19" s="1" t="e">
        <f ca="1">_xludf.XLOOKUP(B19,Restaurants!$A$2:$A$16,Restaurants!$B$2:$B$16,"Unknown")</f>
        <v>#NAME?</v>
      </c>
      <c r="K19" s="1" t="e">
        <f ca="1">_xludf.XLOOKUP(B19,Restaurants!$A$2:$A$16,Restaurants!$D$2:$D$16,"Unknown")</f>
        <v>#NAME?</v>
      </c>
    </row>
    <row r="20" spans="1:11" x14ac:dyDescent="0.3">
      <c r="A20" s="1" t="s">
        <v>245</v>
      </c>
      <c r="B20" s="1" t="s">
        <v>177</v>
      </c>
      <c r="C20" s="1" t="s">
        <v>35</v>
      </c>
      <c r="D20" s="1" t="s">
        <v>155</v>
      </c>
      <c r="E20" s="4">
        <v>46209</v>
      </c>
      <c r="F20" s="1">
        <v>19</v>
      </c>
      <c r="G20" s="1">
        <v>3.6</v>
      </c>
      <c r="H20" s="1">
        <v>196</v>
      </c>
      <c r="I20" s="1" t="s">
        <v>32</v>
      </c>
      <c r="J20" s="1" t="e">
        <f ca="1">_xludf.XLOOKUP(B20,Restaurants!$A$2:$A$16,Restaurants!$B$2:$B$16,"Unknown")</f>
        <v>#NAME?</v>
      </c>
      <c r="K20" s="1" t="e">
        <f ca="1">_xludf.XLOOKUP(B20,Restaurants!$A$2:$A$16,Restaurants!$D$2:$D$16,"Unknown")</f>
        <v>#NAME?</v>
      </c>
    </row>
    <row r="21" spans="1:11" x14ac:dyDescent="0.3">
      <c r="A21" s="1" t="s">
        <v>246</v>
      </c>
      <c r="B21" s="1" t="s">
        <v>149</v>
      </c>
      <c r="C21" s="1" t="s">
        <v>41</v>
      </c>
      <c r="D21" s="1" t="s">
        <v>151</v>
      </c>
      <c r="E21" s="4">
        <v>46255</v>
      </c>
      <c r="F21" s="1">
        <v>36</v>
      </c>
      <c r="G21" s="1">
        <v>4.0999999999999996</v>
      </c>
      <c r="H21" s="1">
        <v>630.58000000000004</v>
      </c>
      <c r="I21" s="1" t="s">
        <v>32</v>
      </c>
      <c r="J21" s="1" t="e">
        <f ca="1">_xludf.XLOOKUP(B21,Restaurants!$A$2:$A$16,Restaurants!$B$2:$B$16,"Unknown")</f>
        <v>#NAME?</v>
      </c>
      <c r="K21" s="1" t="e">
        <f ca="1">_xludf.XLOOKUP(B21,Restaurants!$A$2:$A$16,Restaurants!$D$2:$D$16,"Unknown")</f>
        <v>#NAME?</v>
      </c>
    </row>
    <row r="22" spans="1:11" x14ac:dyDescent="0.3">
      <c r="A22" s="1" t="s">
        <v>247</v>
      </c>
      <c r="B22" s="1" t="s">
        <v>157</v>
      </c>
      <c r="C22" s="1" t="s">
        <v>38</v>
      </c>
      <c r="D22" s="1" t="s">
        <v>159</v>
      </c>
      <c r="E22" s="4">
        <v>46203</v>
      </c>
      <c r="F22" s="1">
        <v>48</v>
      </c>
      <c r="G22" s="1">
        <v>4.7</v>
      </c>
      <c r="H22" s="1">
        <v>785.35</v>
      </c>
      <c r="I22" s="1" t="s">
        <v>32</v>
      </c>
      <c r="J22" s="1" t="e">
        <f ca="1">_xludf.XLOOKUP(B22,Restaurants!$A$2:$A$16,Restaurants!$B$2:$B$16,"Unknown")</f>
        <v>#NAME?</v>
      </c>
      <c r="K22" s="1" t="e">
        <f ca="1">_xludf.XLOOKUP(B22,Restaurants!$A$2:$A$16,Restaurants!$D$2:$D$16,"Unknown")</f>
        <v>#NAME?</v>
      </c>
    </row>
    <row r="23" spans="1:11" x14ac:dyDescent="0.3">
      <c r="A23" s="1" t="s">
        <v>248</v>
      </c>
      <c r="B23" s="1" t="s">
        <v>160</v>
      </c>
      <c r="C23" s="1" t="s">
        <v>31</v>
      </c>
      <c r="D23" s="1" t="s">
        <v>162</v>
      </c>
      <c r="E23" s="4">
        <v>46236</v>
      </c>
      <c r="F23" s="1">
        <v>36</v>
      </c>
      <c r="G23" s="1">
        <v>4.9000000000000004</v>
      </c>
      <c r="H23" s="1">
        <v>563.64</v>
      </c>
      <c r="I23" s="1" t="s">
        <v>32</v>
      </c>
      <c r="J23" s="1" t="e">
        <f ca="1">_xludf.XLOOKUP(B23,Restaurants!$A$2:$A$16,Restaurants!$B$2:$B$16,"Unknown")</f>
        <v>#NAME?</v>
      </c>
      <c r="K23" s="1" t="e">
        <f ca="1">_xludf.XLOOKUP(B23,Restaurants!$A$2:$A$16,Restaurants!$D$2:$D$16,"Unknown")</f>
        <v>#NAME?</v>
      </c>
    </row>
    <row r="24" spans="1:11" x14ac:dyDescent="0.3">
      <c r="A24" s="1" t="s">
        <v>249</v>
      </c>
      <c r="B24" s="1" t="s">
        <v>145</v>
      </c>
      <c r="C24" s="1" t="s">
        <v>35</v>
      </c>
      <c r="D24" s="1" t="s">
        <v>147</v>
      </c>
      <c r="E24" s="4">
        <v>46189</v>
      </c>
      <c r="F24" s="1">
        <v>40</v>
      </c>
      <c r="G24" s="1">
        <v>3.9</v>
      </c>
      <c r="H24" s="1">
        <v>1341.38</v>
      </c>
      <c r="I24" s="1" t="s">
        <v>32</v>
      </c>
      <c r="J24" s="1" t="e">
        <f ca="1">_xludf.XLOOKUP(B24,Restaurants!$A$2:$A$16,Restaurants!$B$2:$B$16,"Unknown")</f>
        <v>#NAME?</v>
      </c>
      <c r="K24" s="1" t="e">
        <f ca="1">_xludf.XLOOKUP(B24,Restaurants!$A$2:$A$16,Restaurants!$D$2:$D$16,"Unknown")</f>
        <v>#NAME?</v>
      </c>
    </row>
    <row r="25" spans="1:11" x14ac:dyDescent="0.3">
      <c r="A25" s="1" t="s">
        <v>250</v>
      </c>
      <c r="B25" s="1" t="s">
        <v>179</v>
      </c>
      <c r="C25" s="1" t="s">
        <v>35</v>
      </c>
      <c r="D25" s="1" t="s">
        <v>159</v>
      </c>
      <c r="E25" s="4">
        <v>46235</v>
      </c>
      <c r="F25" s="1">
        <v>38</v>
      </c>
      <c r="G25" s="1">
        <v>4.5999999999999996</v>
      </c>
      <c r="H25" s="1">
        <v>1658.76</v>
      </c>
      <c r="I25" s="1" t="s">
        <v>32</v>
      </c>
      <c r="J25" s="1" t="e">
        <f ca="1">_xludf.XLOOKUP(B25,Restaurants!$A$2:$A$16,Restaurants!$B$2:$B$16,"Unknown")</f>
        <v>#NAME?</v>
      </c>
      <c r="K25" s="1" t="e">
        <f ca="1">_xludf.XLOOKUP(B25,Restaurants!$A$2:$A$16,Restaurants!$D$2:$D$16,"Unknown")</f>
        <v>#NAME?</v>
      </c>
    </row>
    <row r="26" spans="1:11" x14ac:dyDescent="0.3">
      <c r="A26" s="1" t="s">
        <v>251</v>
      </c>
      <c r="B26" s="1" t="s">
        <v>145</v>
      </c>
      <c r="C26" s="1" t="s">
        <v>41</v>
      </c>
      <c r="D26" s="1" t="s">
        <v>147</v>
      </c>
      <c r="E26" s="4">
        <v>46216</v>
      </c>
      <c r="F26" s="1">
        <v>34</v>
      </c>
      <c r="G26" s="1">
        <v>4.8</v>
      </c>
      <c r="H26" s="1">
        <v>807.02</v>
      </c>
      <c r="I26" s="1" t="s">
        <v>32</v>
      </c>
      <c r="J26" s="1" t="e">
        <f ca="1">_xludf.XLOOKUP(B26,Restaurants!$A$2:$A$16,Restaurants!$B$2:$B$16,"Unknown")</f>
        <v>#NAME?</v>
      </c>
      <c r="K26" s="1" t="e">
        <f ca="1">_xludf.XLOOKUP(B26,Restaurants!$A$2:$A$16,Restaurants!$D$2:$D$16,"Unknown")</f>
        <v>#NAME?</v>
      </c>
    </row>
    <row r="27" spans="1:11" x14ac:dyDescent="0.3">
      <c r="A27" s="1" t="s">
        <v>252</v>
      </c>
      <c r="B27" s="1" t="s">
        <v>175</v>
      </c>
      <c r="C27" s="1" t="s">
        <v>35</v>
      </c>
      <c r="D27" s="1" t="s">
        <v>151</v>
      </c>
      <c r="E27" s="4">
        <v>46219</v>
      </c>
      <c r="F27" s="1">
        <v>43</v>
      </c>
      <c r="G27" s="1">
        <v>4.2</v>
      </c>
      <c r="H27" s="1">
        <v>385.53</v>
      </c>
      <c r="I27" s="1" t="s">
        <v>32</v>
      </c>
      <c r="J27" s="1" t="e">
        <f ca="1">_xludf.XLOOKUP(B27,Restaurants!$A$2:$A$16,Restaurants!$B$2:$B$16,"Unknown")</f>
        <v>#NAME?</v>
      </c>
      <c r="K27" s="1" t="e">
        <f ca="1">_xludf.XLOOKUP(B27,Restaurants!$A$2:$A$16,Restaurants!$D$2:$D$16,"Unknown")</f>
        <v>#NAME?</v>
      </c>
    </row>
    <row r="28" spans="1:11" x14ac:dyDescent="0.3">
      <c r="A28" s="1" t="s">
        <v>253</v>
      </c>
      <c r="B28" s="1" t="s">
        <v>149</v>
      </c>
      <c r="C28" s="1" t="s">
        <v>45</v>
      </c>
      <c r="D28" s="1" t="s">
        <v>151</v>
      </c>
      <c r="E28" s="4">
        <v>46197</v>
      </c>
      <c r="F28" s="1">
        <v>40</v>
      </c>
      <c r="G28" s="1">
        <v>4.3</v>
      </c>
      <c r="H28" s="1">
        <v>390.74</v>
      </c>
      <c r="I28" s="1" t="s">
        <v>32</v>
      </c>
      <c r="J28" s="1" t="e">
        <f ca="1">_xludf.XLOOKUP(B28,Restaurants!$A$2:$A$16,Restaurants!$B$2:$B$16,"Unknown")</f>
        <v>#NAME?</v>
      </c>
      <c r="K28" s="1" t="e">
        <f ca="1">_xludf.XLOOKUP(B28,Restaurants!$A$2:$A$16,Restaurants!$D$2:$D$16,"Unknown")</f>
        <v>#NAME?</v>
      </c>
    </row>
    <row r="29" spans="1:11" x14ac:dyDescent="0.3">
      <c r="A29" s="1" t="s">
        <v>254</v>
      </c>
      <c r="B29" s="1" t="s">
        <v>157</v>
      </c>
      <c r="C29" s="1" t="s">
        <v>45</v>
      </c>
      <c r="D29" s="1" t="s">
        <v>159</v>
      </c>
      <c r="E29" s="4">
        <v>46190</v>
      </c>
      <c r="F29" s="1">
        <v>36</v>
      </c>
      <c r="G29" s="1">
        <v>4.4000000000000004</v>
      </c>
      <c r="H29" s="1">
        <v>1584.09</v>
      </c>
      <c r="I29" s="1" t="s">
        <v>32</v>
      </c>
      <c r="J29" s="1" t="e">
        <f ca="1">_xludf.XLOOKUP(B29,Restaurants!$A$2:$A$16,Restaurants!$B$2:$B$16,"Unknown")</f>
        <v>#NAME?</v>
      </c>
      <c r="K29" s="1" t="e">
        <f ca="1">_xludf.XLOOKUP(B29,Restaurants!$A$2:$A$16,Restaurants!$D$2:$D$16,"Unknown")</f>
        <v>#NAME?</v>
      </c>
    </row>
    <row r="30" spans="1:11" x14ac:dyDescent="0.3">
      <c r="A30" s="1" t="s">
        <v>255</v>
      </c>
      <c r="B30" s="1" t="s">
        <v>169</v>
      </c>
      <c r="C30" s="1" t="s">
        <v>41</v>
      </c>
      <c r="D30" s="1" t="s">
        <v>159</v>
      </c>
      <c r="E30" s="4">
        <v>46216</v>
      </c>
      <c r="F30" s="1">
        <v>23</v>
      </c>
      <c r="G30" s="1">
        <v>3.7</v>
      </c>
      <c r="H30" s="1">
        <v>1006.3</v>
      </c>
      <c r="I30" s="1" t="s">
        <v>32</v>
      </c>
      <c r="J30" s="1" t="e">
        <f ca="1">_xludf.XLOOKUP(B30,Restaurants!$A$2:$A$16,Restaurants!$B$2:$B$16,"Unknown")</f>
        <v>#NAME?</v>
      </c>
      <c r="K30" s="1" t="e">
        <f ca="1">_xludf.XLOOKUP(B30,Restaurants!$A$2:$A$16,Restaurants!$D$2:$D$16,"Unknown")</f>
        <v>#NAME?</v>
      </c>
    </row>
    <row r="31" spans="1:11" x14ac:dyDescent="0.3">
      <c r="A31" s="1" t="s">
        <v>256</v>
      </c>
      <c r="B31" s="1" t="s">
        <v>149</v>
      </c>
      <c r="C31" s="1" t="s">
        <v>38</v>
      </c>
      <c r="D31" s="1" t="s">
        <v>151</v>
      </c>
      <c r="E31" s="4">
        <v>46174</v>
      </c>
      <c r="F31" s="1">
        <v>38</v>
      </c>
      <c r="G31" s="1">
        <v>4.5</v>
      </c>
      <c r="H31" s="1">
        <v>1564.32</v>
      </c>
      <c r="I31" s="1" t="s">
        <v>42</v>
      </c>
      <c r="J31" s="1" t="e">
        <f ca="1">_xludf.XLOOKUP(B31,Restaurants!$A$2:$A$16,Restaurants!$B$2:$B$16,"Unknown")</f>
        <v>#NAME?</v>
      </c>
      <c r="K31" s="1" t="e">
        <f ca="1">_xludf.XLOOKUP(B31,Restaurants!$A$2:$A$16,Restaurants!$D$2:$D$16,"Unknown")</f>
        <v>#NAME?</v>
      </c>
    </row>
    <row r="32" spans="1:11" x14ac:dyDescent="0.3">
      <c r="A32" s="1" t="s">
        <v>257</v>
      </c>
      <c r="B32" s="1" t="s">
        <v>175</v>
      </c>
      <c r="C32" s="1" t="s">
        <v>41</v>
      </c>
      <c r="D32" s="1" t="s">
        <v>151</v>
      </c>
      <c r="E32" s="4">
        <v>46202</v>
      </c>
      <c r="F32" s="1">
        <v>36</v>
      </c>
      <c r="G32" s="1">
        <v>4.8</v>
      </c>
      <c r="H32" s="1">
        <v>1322.5</v>
      </c>
      <c r="I32" s="1" t="s">
        <v>42</v>
      </c>
      <c r="J32" s="1" t="e">
        <f ca="1">_xludf.XLOOKUP(B32,Restaurants!$A$2:$A$16,Restaurants!$B$2:$B$16,"Unknown")</f>
        <v>#NAME?</v>
      </c>
      <c r="K32" s="1" t="e">
        <f ca="1">_xludf.XLOOKUP(B32,Restaurants!$A$2:$A$16,Restaurants!$D$2:$D$16,"Unknown")</f>
        <v>#NAME?</v>
      </c>
    </row>
    <row r="33" spans="1:11" x14ac:dyDescent="0.3">
      <c r="A33" s="1" t="s">
        <v>258</v>
      </c>
      <c r="B33" s="1" t="s">
        <v>167</v>
      </c>
      <c r="C33" s="1" t="s">
        <v>41</v>
      </c>
      <c r="D33" s="1" t="s">
        <v>155</v>
      </c>
      <c r="E33" s="4">
        <v>46205</v>
      </c>
      <c r="F33" s="1">
        <v>18</v>
      </c>
      <c r="G33" s="1">
        <v>4.0999999999999996</v>
      </c>
      <c r="H33" s="1">
        <v>715.71</v>
      </c>
      <c r="I33" s="1" t="s">
        <v>32</v>
      </c>
      <c r="J33" s="1" t="e">
        <f ca="1">_xludf.XLOOKUP(B33,Restaurants!$A$2:$A$16,Restaurants!$B$2:$B$16,"Unknown")</f>
        <v>#NAME?</v>
      </c>
      <c r="K33" s="1" t="e">
        <f ca="1">_xludf.XLOOKUP(B33,Restaurants!$A$2:$A$16,Restaurants!$D$2:$D$16,"Unknown")</f>
        <v>#NAME?</v>
      </c>
    </row>
    <row r="34" spans="1:11" x14ac:dyDescent="0.3">
      <c r="A34" s="1" t="s">
        <v>259</v>
      </c>
      <c r="B34" s="1" t="s">
        <v>165</v>
      </c>
      <c r="C34" s="1" t="s">
        <v>35</v>
      </c>
      <c r="D34" s="1" t="s">
        <v>151</v>
      </c>
      <c r="E34" s="4">
        <v>46256</v>
      </c>
      <c r="F34" s="1">
        <v>8</v>
      </c>
      <c r="G34" s="1">
        <v>5</v>
      </c>
      <c r="H34" s="1">
        <v>389.01</v>
      </c>
      <c r="I34" s="1" t="s">
        <v>32</v>
      </c>
      <c r="J34" s="1" t="e">
        <f ca="1">_xludf.XLOOKUP(B34,Restaurants!$A$2:$A$16,Restaurants!$B$2:$B$16,"Unknown")</f>
        <v>#NAME?</v>
      </c>
      <c r="K34" s="1" t="e">
        <f ca="1">_xludf.XLOOKUP(B34,Restaurants!$A$2:$A$16,Restaurants!$D$2:$D$16,"Unknown")</f>
        <v>#NAME?</v>
      </c>
    </row>
    <row r="35" spans="1:11" x14ac:dyDescent="0.3">
      <c r="A35" s="1" t="s">
        <v>260</v>
      </c>
      <c r="B35" s="1" t="s">
        <v>160</v>
      </c>
      <c r="C35" s="1" t="s">
        <v>35</v>
      </c>
      <c r="D35" s="1" t="s">
        <v>162</v>
      </c>
      <c r="E35" s="4">
        <v>46189</v>
      </c>
      <c r="F35" s="1">
        <v>39</v>
      </c>
      <c r="G35" s="1">
        <v>4.4000000000000004</v>
      </c>
      <c r="H35" s="1">
        <v>257.70999999999998</v>
      </c>
      <c r="I35" s="1" t="s">
        <v>32</v>
      </c>
      <c r="J35" s="1" t="e">
        <f ca="1">_xludf.XLOOKUP(B35,Restaurants!$A$2:$A$16,Restaurants!$B$2:$B$16,"Unknown")</f>
        <v>#NAME?</v>
      </c>
      <c r="K35" s="1" t="e">
        <f ca="1">_xludf.XLOOKUP(B35,Restaurants!$A$2:$A$16,Restaurants!$D$2:$D$16,"Unknown")</f>
        <v>#NAME?</v>
      </c>
    </row>
    <row r="36" spans="1:11" x14ac:dyDescent="0.3">
      <c r="A36" s="1" t="s">
        <v>261</v>
      </c>
      <c r="B36" s="1" t="s">
        <v>157</v>
      </c>
      <c r="C36" s="1" t="s">
        <v>45</v>
      </c>
      <c r="D36" s="1" t="s">
        <v>159</v>
      </c>
      <c r="E36" s="4">
        <v>46200</v>
      </c>
      <c r="F36" s="1">
        <v>18</v>
      </c>
      <c r="G36" s="1">
        <v>5</v>
      </c>
      <c r="H36" s="1">
        <v>1758.65</v>
      </c>
      <c r="I36" s="1" t="s">
        <v>32</v>
      </c>
      <c r="J36" s="1" t="e">
        <f ca="1">_xludf.XLOOKUP(B36,Restaurants!$A$2:$A$16,Restaurants!$B$2:$B$16,"Unknown")</f>
        <v>#NAME?</v>
      </c>
      <c r="K36" s="1" t="e">
        <f ca="1">_xludf.XLOOKUP(B36,Restaurants!$A$2:$A$16,Restaurants!$D$2:$D$16,"Unknown")</f>
        <v>#NAME?</v>
      </c>
    </row>
    <row r="37" spans="1:11" x14ac:dyDescent="0.3">
      <c r="A37" s="1" t="s">
        <v>262</v>
      </c>
      <c r="B37" s="1" t="s">
        <v>173</v>
      </c>
      <c r="C37" s="1" t="s">
        <v>35</v>
      </c>
      <c r="D37" s="1" t="s">
        <v>147</v>
      </c>
      <c r="E37" s="4">
        <v>46200</v>
      </c>
      <c r="F37" s="1">
        <v>41</v>
      </c>
      <c r="G37" s="1">
        <v>3.1</v>
      </c>
      <c r="H37" s="1">
        <v>626.86</v>
      </c>
      <c r="I37" s="1" t="s">
        <v>32</v>
      </c>
      <c r="J37" s="1" t="e">
        <f ca="1">_xludf.XLOOKUP(B37,Restaurants!$A$2:$A$16,Restaurants!$B$2:$B$16,"Unknown")</f>
        <v>#NAME?</v>
      </c>
      <c r="K37" s="1" t="e">
        <f ca="1">_xludf.XLOOKUP(B37,Restaurants!$A$2:$A$16,Restaurants!$D$2:$D$16,"Unknown")</f>
        <v>#NAME?</v>
      </c>
    </row>
    <row r="38" spans="1:11" x14ac:dyDescent="0.3">
      <c r="A38" s="1" t="s">
        <v>263</v>
      </c>
      <c r="B38" s="1" t="s">
        <v>149</v>
      </c>
      <c r="C38" s="1" t="s">
        <v>38</v>
      </c>
      <c r="D38" s="1" t="s">
        <v>151</v>
      </c>
      <c r="E38" s="4">
        <v>46226</v>
      </c>
      <c r="F38" s="1">
        <v>28</v>
      </c>
      <c r="G38" s="1">
        <v>3.5</v>
      </c>
      <c r="H38" s="1">
        <v>817.88</v>
      </c>
      <c r="I38" s="1" t="s">
        <v>32</v>
      </c>
      <c r="J38" s="1" t="e">
        <f ca="1">_xludf.XLOOKUP(B38,Restaurants!$A$2:$A$16,Restaurants!$B$2:$B$16,"Unknown")</f>
        <v>#NAME?</v>
      </c>
      <c r="K38" s="1" t="e">
        <f ca="1">_xludf.XLOOKUP(B38,Restaurants!$A$2:$A$16,Restaurants!$D$2:$D$16,"Unknown")</f>
        <v>#NAME?</v>
      </c>
    </row>
    <row r="39" spans="1:11" x14ac:dyDescent="0.3">
      <c r="A39" s="1" t="s">
        <v>264</v>
      </c>
      <c r="B39" s="1" t="s">
        <v>149</v>
      </c>
      <c r="C39" s="1" t="s">
        <v>31</v>
      </c>
      <c r="D39" s="1" t="s">
        <v>151</v>
      </c>
      <c r="E39" s="4">
        <v>46229</v>
      </c>
      <c r="F39" s="1">
        <v>68</v>
      </c>
      <c r="G39" s="1">
        <v>4.0999999999999996</v>
      </c>
      <c r="H39" s="1">
        <v>1215.8800000000001</v>
      </c>
      <c r="I39" s="1" t="s">
        <v>90</v>
      </c>
      <c r="J39" s="1" t="e">
        <f ca="1">_xludf.XLOOKUP(B39,Restaurants!$A$2:$A$16,Restaurants!$B$2:$B$16,"Unknown")</f>
        <v>#NAME?</v>
      </c>
      <c r="K39" s="1" t="e">
        <f ca="1">_xludf.XLOOKUP(B39,Restaurants!$A$2:$A$16,Restaurants!$D$2:$D$16,"Unknown")</f>
        <v>#NAME?</v>
      </c>
    </row>
    <row r="40" spans="1:11" x14ac:dyDescent="0.3">
      <c r="A40" s="1" t="s">
        <v>265</v>
      </c>
      <c r="B40" s="1" t="s">
        <v>171</v>
      </c>
      <c r="C40" s="1" t="s">
        <v>35</v>
      </c>
      <c r="D40" s="1" t="s">
        <v>162</v>
      </c>
      <c r="E40" s="4">
        <v>46237</v>
      </c>
      <c r="F40" s="1">
        <v>23</v>
      </c>
      <c r="G40" s="1">
        <v>4.4000000000000004</v>
      </c>
      <c r="H40" s="1">
        <v>1582.61</v>
      </c>
      <c r="I40" s="1" t="s">
        <v>32</v>
      </c>
      <c r="J40" s="1" t="e">
        <f ca="1">_xludf.XLOOKUP(B40,Restaurants!$A$2:$A$16,Restaurants!$B$2:$B$16,"Unknown")</f>
        <v>#NAME?</v>
      </c>
      <c r="K40" s="1" t="e">
        <f ca="1">_xludf.XLOOKUP(B40,Restaurants!$A$2:$A$16,Restaurants!$D$2:$D$16,"Unknown")</f>
        <v>#NAME?</v>
      </c>
    </row>
    <row r="41" spans="1:11" x14ac:dyDescent="0.3">
      <c r="A41" s="1" t="s">
        <v>266</v>
      </c>
      <c r="B41" s="1" t="s">
        <v>153</v>
      </c>
      <c r="C41" s="1" t="s">
        <v>35</v>
      </c>
      <c r="D41" s="1" t="s">
        <v>155</v>
      </c>
      <c r="E41" s="4">
        <v>46232</v>
      </c>
      <c r="F41" s="1">
        <v>46</v>
      </c>
      <c r="G41" s="1">
        <v>4.2</v>
      </c>
      <c r="H41" s="1">
        <v>1392.18</v>
      </c>
      <c r="I41" s="1" t="s">
        <v>32</v>
      </c>
      <c r="J41" s="1" t="e">
        <f ca="1">_xludf.XLOOKUP(B41,Restaurants!$A$2:$A$16,Restaurants!$B$2:$B$16,"Unknown")</f>
        <v>#NAME?</v>
      </c>
      <c r="K41" s="1" t="e">
        <f ca="1">_xludf.XLOOKUP(B41,Restaurants!$A$2:$A$16,Restaurants!$D$2:$D$16,"Unknown")</f>
        <v>#NAME?</v>
      </c>
    </row>
    <row r="42" spans="1:11" x14ac:dyDescent="0.3">
      <c r="A42" s="1" t="s">
        <v>267</v>
      </c>
      <c r="B42" s="1" t="s">
        <v>167</v>
      </c>
      <c r="C42" s="1" t="s">
        <v>35</v>
      </c>
      <c r="D42" s="1" t="s">
        <v>155</v>
      </c>
      <c r="E42" s="4">
        <v>46208</v>
      </c>
      <c r="F42" s="1">
        <v>13</v>
      </c>
      <c r="G42" s="1">
        <v>4.3</v>
      </c>
      <c r="H42" s="1">
        <v>313.56</v>
      </c>
      <c r="I42" s="1" t="s">
        <v>32</v>
      </c>
      <c r="J42" s="1" t="e">
        <f ca="1">_xludf.XLOOKUP(B42,Restaurants!$A$2:$A$16,Restaurants!$B$2:$B$16,"Unknown")</f>
        <v>#NAME?</v>
      </c>
      <c r="K42" s="1" t="e">
        <f ca="1">_xludf.XLOOKUP(B42,Restaurants!$A$2:$A$16,Restaurants!$D$2:$D$16,"Unknown")</f>
        <v>#NAME?</v>
      </c>
    </row>
    <row r="43" spans="1:11" x14ac:dyDescent="0.3">
      <c r="A43" s="1" t="s">
        <v>268</v>
      </c>
      <c r="B43" s="1" t="s">
        <v>181</v>
      </c>
      <c r="C43" s="1" t="s">
        <v>31</v>
      </c>
      <c r="D43" s="1" t="s">
        <v>162</v>
      </c>
      <c r="E43" s="4">
        <v>46222</v>
      </c>
      <c r="F43" s="1">
        <v>46</v>
      </c>
      <c r="G43" s="1">
        <v>4.8</v>
      </c>
      <c r="H43" s="1">
        <v>442.97</v>
      </c>
      <c r="I43" s="1" t="s">
        <v>42</v>
      </c>
      <c r="J43" s="1" t="e">
        <f ca="1">_xludf.XLOOKUP(B43,Restaurants!$A$2:$A$16,Restaurants!$B$2:$B$16,"Unknown")</f>
        <v>#NAME?</v>
      </c>
      <c r="K43" s="1" t="e">
        <f ca="1">_xludf.XLOOKUP(B43,Restaurants!$A$2:$A$16,Restaurants!$D$2:$D$16,"Unknown")</f>
        <v>#NAME?</v>
      </c>
    </row>
    <row r="44" spans="1:11" x14ac:dyDescent="0.3">
      <c r="A44" s="1" t="s">
        <v>269</v>
      </c>
      <c r="B44" s="1" t="s">
        <v>157</v>
      </c>
      <c r="C44" s="1" t="s">
        <v>35</v>
      </c>
      <c r="D44" s="1" t="s">
        <v>159</v>
      </c>
      <c r="E44" s="4">
        <v>46183</v>
      </c>
      <c r="F44" s="1">
        <v>62</v>
      </c>
      <c r="G44" s="1">
        <v>4.5</v>
      </c>
      <c r="H44" s="1">
        <v>1767.69</v>
      </c>
      <c r="I44" s="1" t="s">
        <v>90</v>
      </c>
      <c r="J44" s="1" t="e">
        <f ca="1">_xludf.XLOOKUP(B44,Restaurants!$A$2:$A$16,Restaurants!$B$2:$B$16,"Unknown")</f>
        <v>#NAME?</v>
      </c>
      <c r="K44" s="1" t="e">
        <f ca="1">_xludf.XLOOKUP(B44,Restaurants!$A$2:$A$16,Restaurants!$D$2:$D$16,"Unknown")</f>
        <v>#NAME?</v>
      </c>
    </row>
    <row r="45" spans="1:11" x14ac:dyDescent="0.3">
      <c r="A45" s="1" t="s">
        <v>270</v>
      </c>
      <c r="B45" s="1" t="s">
        <v>173</v>
      </c>
      <c r="C45" s="1" t="s">
        <v>38</v>
      </c>
      <c r="D45" s="1" t="s">
        <v>147</v>
      </c>
      <c r="E45" s="4">
        <v>46179</v>
      </c>
      <c r="F45" s="1">
        <v>51</v>
      </c>
      <c r="G45" s="1">
        <v>4.5</v>
      </c>
      <c r="H45" s="1">
        <v>1703.38</v>
      </c>
      <c r="I45" s="1" t="s">
        <v>32</v>
      </c>
      <c r="J45" s="1" t="e">
        <f ca="1">_xludf.XLOOKUP(B45,Restaurants!$A$2:$A$16,Restaurants!$B$2:$B$16,"Unknown")</f>
        <v>#NAME?</v>
      </c>
      <c r="K45" s="1" t="e">
        <f ca="1">_xludf.XLOOKUP(B45,Restaurants!$A$2:$A$16,Restaurants!$D$2:$D$16,"Unknown")</f>
        <v>#NAME?</v>
      </c>
    </row>
    <row r="46" spans="1:11" x14ac:dyDescent="0.3">
      <c r="A46" s="1" t="s">
        <v>271</v>
      </c>
      <c r="B46" s="1" t="s">
        <v>153</v>
      </c>
      <c r="C46" s="1" t="s">
        <v>35</v>
      </c>
      <c r="D46" s="1" t="s">
        <v>155</v>
      </c>
      <c r="E46" s="4">
        <v>46207</v>
      </c>
      <c r="F46" s="1">
        <v>60</v>
      </c>
      <c r="G46" s="1">
        <v>4.7</v>
      </c>
      <c r="H46" s="1">
        <v>1164.3900000000001</v>
      </c>
      <c r="I46" s="1" t="s">
        <v>90</v>
      </c>
      <c r="J46" s="1" t="e">
        <f ca="1">_xludf.XLOOKUP(B46,Restaurants!$A$2:$A$16,Restaurants!$B$2:$B$16,"Unknown")</f>
        <v>#NAME?</v>
      </c>
      <c r="K46" s="1" t="e">
        <f ca="1">_xludf.XLOOKUP(B46,Restaurants!$A$2:$A$16,Restaurants!$D$2:$D$16,"Unknown")</f>
        <v>#NAME?</v>
      </c>
    </row>
    <row r="47" spans="1:11" x14ac:dyDescent="0.3">
      <c r="A47" s="1" t="s">
        <v>272</v>
      </c>
      <c r="B47" s="1" t="s">
        <v>173</v>
      </c>
      <c r="C47" s="1" t="s">
        <v>38</v>
      </c>
      <c r="D47" s="1" t="s">
        <v>147</v>
      </c>
      <c r="E47" s="4">
        <v>46194</v>
      </c>
      <c r="F47" s="1">
        <v>28</v>
      </c>
      <c r="G47" s="1">
        <v>4.4000000000000004</v>
      </c>
      <c r="H47" s="1">
        <v>1113.3599999999999</v>
      </c>
      <c r="I47" s="1" t="s">
        <v>32</v>
      </c>
      <c r="J47" s="1" t="e">
        <f ca="1">_xludf.XLOOKUP(B47,Restaurants!$A$2:$A$16,Restaurants!$B$2:$B$16,"Unknown")</f>
        <v>#NAME?</v>
      </c>
      <c r="K47" s="1" t="e">
        <f ca="1">_xludf.XLOOKUP(B47,Restaurants!$A$2:$A$16,Restaurants!$D$2:$D$16,"Unknown")</f>
        <v>#NAME?</v>
      </c>
    </row>
    <row r="48" spans="1:11" x14ac:dyDescent="0.3">
      <c r="A48" s="1" t="s">
        <v>273</v>
      </c>
      <c r="B48" s="1" t="s">
        <v>171</v>
      </c>
      <c r="C48" s="1" t="s">
        <v>41</v>
      </c>
      <c r="D48" s="1" t="s">
        <v>162</v>
      </c>
      <c r="E48" s="4">
        <v>46207</v>
      </c>
      <c r="F48" s="1">
        <v>38</v>
      </c>
      <c r="G48" s="1">
        <v>4</v>
      </c>
      <c r="H48" s="1">
        <v>610.80999999999995</v>
      </c>
      <c r="I48" s="1" t="s">
        <v>32</v>
      </c>
      <c r="J48" s="1" t="e">
        <f ca="1">_xludf.XLOOKUP(B48,Restaurants!$A$2:$A$16,Restaurants!$B$2:$B$16,"Unknown")</f>
        <v>#NAME?</v>
      </c>
      <c r="K48" s="1" t="e">
        <f ca="1">_xludf.XLOOKUP(B48,Restaurants!$A$2:$A$16,Restaurants!$D$2:$D$16,"Unknown")</f>
        <v>#NAME?</v>
      </c>
    </row>
    <row r="49" spans="1:11" x14ac:dyDescent="0.3">
      <c r="A49" s="1" t="s">
        <v>274</v>
      </c>
      <c r="B49" s="1" t="s">
        <v>163</v>
      </c>
      <c r="C49" s="1" t="s">
        <v>31</v>
      </c>
      <c r="D49" s="1" t="s">
        <v>147</v>
      </c>
      <c r="E49" s="4">
        <v>46260</v>
      </c>
      <c r="F49" s="1">
        <v>17</v>
      </c>
      <c r="G49" s="1">
        <v>4.3</v>
      </c>
      <c r="H49" s="1">
        <v>350.85</v>
      </c>
      <c r="I49" s="1" t="s">
        <v>32</v>
      </c>
      <c r="J49" s="1" t="e">
        <f ca="1">_xludf.XLOOKUP(B49,Restaurants!$A$2:$A$16,Restaurants!$B$2:$B$16,"Unknown")</f>
        <v>#NAME?</v>
      </c>
      <c r="K49" s="1" t="e">
        <f ca="1">_xludf.XLOOKUP(B49,Restaurants!$A$2:$A$16,Restaurants!$D$2:$D$16,"Unknown")</f>
        <v>#NAME?</v>
      </c>
    </row>
    <row r="50" spans="1:11" x14ac:dyDescent="0.3">
      <c r="A50" s="1" t="s">
        <v>275</v>
      </c>
      <c r="B50" s="1" t="s">
        <v>173</v>
      </c>
      <c r="C50" s="1" t="s">
        <v>31</v>
      </c>
      <c r="D50" s="1" t="s">
        <v>147</v>
      </c>
      <c r="E50" s="4">
        <v>46217</v>
      </c>
      <c r="F50" s="1">
        <v>37</v>
      </c>
      <c r="G50" s="1">
        <v>4.3</v>
      </c>
      <c r="H50" s="1">
        <v>1074.0899999999999</v>
      </c>
      <c r="I50" s="1" t="s">
        <v>32</v>
      </c>
      <c r="J50" s="1" t="e">
        <f ca="1">_xludf.XLOOKUP(B50,Restaurants!$A$2:$A$16,Restaurants!$B$2:$B$16,"Unknown")</f>
        <v>#NAME?</v>
      </c>
      <c r="K50" s="1" t="e">
        <f ca="1">_xludf.XLOOKUP(B50,Restaurants!$A$2:$A$16,Restaurants!$D$2:$D$16,"Unknown")</f>
        <v>#NAME?</v>
      </c>
    </row>
    <row r="51" spans="1:11" x14ac:dyDescent="0.3">
      <c r="A51" s="1" t="s">
        <v>276</v>
      </c>
      <c r="B51" s="1" t="s">
        <v>153</v>
      </c>
      <c r="C51" s="1" t="s">
        <v>35</v>
      </c>
      <c r="D51" s="1" t="s">
        <v>155</v>
      </c>
      <c r="E51" s="4">
        <v>46229</v>
      </c>
      <c r="F51" s="1">
        <v>14</v>
      </c>
      <c r="G51" s="1">
        <v>4.3</v>
      </c>
      <c r="H51" s="1">
        <v>600.21</v>
      </c>
      <c r="I51" s="1" t="s">
        <v>42</v>
      </c>
      <c r="J51" s="1" t="e">
        <f ca="1">_xludf.XLOOKUP(B51,Restaurants!$A$2:$A$16,Restaurants!$B$2:$B$16,"Unknown")</f>
        <v>#NAME?</v>
      </c>
      <c r="K51" s="1" t="e">
        <f ca="1">_xludf.XLOOKUP(B51,Restaurants!$A$2:$A$16,Restaurants!$D$2:$D$16,"Unknown")</f>
        <v>#NAME?</v>
      </c>
    </row>
    <row r="52" spans="1:11" x14ac:dyDescent="0.3">
      <c r="A52" s="1" t="s">
        <v>277</v>
      </c>
      <c r="B52" s="1" t="s">
        <v>153</v>
      </c>
      <c r="C52" s="1" t="s">
        <v>31</v>
      </c>
      <c r="D52" s="1" t="s">
        <v>155</v>
      </c>
      <c r="E52" s="4">
        <v>46223</v>
      </c>
      <c r="F52" s="1">
        <v>38</v>
      </c>
      <c r="G52" s="1">
        <v>4</v>
      </c>
      <c r="H52" s="1">
        <v>727.77</v>
      </c>
      <c r="I52" s="1" t="s">
        <v>32</v>
      </c>
      <c r="J52" s="1" t="e">
        <f ca="1">_xludf.XLOOKUP(B52,Restaurants!$A$2:$A$16,Restaurants!$B$2:$B$16,"Unknown")</f>
        <v>#NAME?</v>
      </c>
      <c r="K52" s="1" t="e">
        <f ca="1">_xludf.XLOOKUP(B52,Restaurants!$A$2:$A$16,Restaurants!$D$2:$D$16,"Unknown")</f>
        <v>#NAME?</v>
      </c>
    </row>
    <row r="53" spans="1:11" x14ac:dyDescent="0.3">
      <c r="A53" s="1" t="s">
        <v>278</v>
      </c>
      <c r="B53" s="1" t="s">
        <v>173</v>
      </c>
      <c r="C53" s="1" t="s">
        <v>31</v>
      </c>
      <c r="D53" s="1" t="s">
        <v>147</v>
      </c>
      <c r="E53" s="4">
        <v>46225</v>
      </c>
      <c r="F53" s="1">
        <v>58</v>
      </c>
      <c r="G53" s="1">
        <v>3.7</v>
      </c>
      <c r="H53" s="1">
        <v>651.23</v>
      </c>
      <c r="I53" s="1" t="s">
        <v>90</v>
      </c>
      <c r="J53" s="1" t="e">
        <f ca="1">_xludf.XLOOKUP(B53,Restaurants!$A$2:$A$16,Restaurants!$B$2:$B$16,"Unknown")</f>
        <v>#NAME?</v>
      </c>
      <c r="K53" s="1" t="e">
        <f ca="1">_xludf.XLOOKUP(B53,Restaurants!$A$2:$A$16,Restaurants!$D$2:$D$16,"Unknown")</f>
        <v>#NAME?</v>
      </c>
    </row>
    <row r="54" spans="1:11" x14ac:dyDescent="0.3">
      <c r="A54" s="1" t="s">
        <v>279</v>
      </c>
      <c r="B54" s="1" t="s">
        <v>167</v>
      </c>
      <c r="C54" s="1" t="s">
        <v>35</v>
      </c>
      <c r="D54" s="1" t="s">
        <v>155</v>
      </c>
      <c r="E54" s="4">
        <v>46245</v>
      </c>
      <c r="F54" s="1">
        <v>16</v>
      </c>
      <c r="G54" s="1">
        <v>4.0999999999999996</v>
      </c>
      <c r="H54" s="1">
        <v>759.21</v>
      </c>
      <c r="I54" s="1" t="s">
        <v>42</v>
      </c>
      <c r="J54" s="1" t="e">
        <f ca="1">_xludf.XLOOKUP(B54,Restaurants!$A$2:$A$16,Restaurants!$B$2:$B$16,"Unknown")</f>
        <v>#NAME?</v>
      </c>
      <c r="K54" s="1" t="e">
        <f ca="1">_xludf.XLOOKUP(B54,Restaurants!$A$2:$A$16,Restaurants!$D$2:$D$16,"Unknown")</f>
        <v>#NAME?</v>
      </c>
    </row>
    <row r="55" spans="1:11" x14ac:dyDescent="0.3">
      <c r="A55" s="1" t="s">
        <v>280</v>
      </c>
      <c r="B55" s="1" t="s">
        <v>153</v>
      </c>
      <c r="C55" s="1" t="s">
        <v>38</v>
      </c>
      <c r="D55" s="1" t="s">
        <v>155</v>
      </c>
      <c r="E55" s="4">
        <v>46188</v>
      </c>
      <c r="F55" s="1">
        <v>29</v>
      </c>
      <c r="G55" s="1">
        <v>4.2</v>
      </c>
      <c r="H55" s="1">
        <v>1644.13</v>
      </c>
      <c r="I55" s="1" t="s">
        <v>32</v>
      </c>
      <c r="J55" s="1" t="e">
        <f ca="1">_xludf.XLOOKUP(B55,Restaurants!$A$2:$A$16,Restaurants!$B$2:$B$16,"Unknown")</f>
        <v>#NAME?</v>
      </c>
      <c r="K55" s="1" t="e">
        <f ca="1">_xludf.XLOOKUP(B55,Restaurants!$A$2:$A$16,Restaurants!$D$2:$D$16,"Unknown")</f>
        <v>#NAME?</v>
      </c>
    </row>
    <row r="56" spans="1:11" x14ac:dyDescent="0.3">
      <c r="A56" s="1" t="s">
        <v>281</v>
      </c>
      <c r="B56" s="1" t="s">
        <v>165</v>
      </c>
      <c r="C56" s="1" t="s">
        <v>38</v>
      </c>
      <c r="D56" s="1" t="s">
        <v>151</v>
      </c>
      <c r="E56" s="4">
        <v>46248</v>
      </c>
      <c r="F56" s="1">
        <v>47</v>
      </c>
      <c r="G56" s="1">
        <v>4.7</v>
      </c>
      <c r="H56" s="1">
        <v>621.51</v>
      </c>
      <c r="I56" s="1" t="s">
        <v>32</v>
      </c>
      <c r="J56" s="1" t="e">
        <f ca="1">_xludf.XLOOKUP(B56,Restaurants!$A$2:$A$16,Restaurants!$B$2:$B$16,"Unknown")</f>
        <v>#NAME?</v>
      </c>
      <c r="K56" s="1" t="e">
        <f ca="1">_xludf.XLOOKUP(B56,Restaurants!$A$2:$A$16,Restaurants!$D$2:$D$16,"Unknown")</f>
        <v>#NAME?</v>
      </c>
    </row>
    <row r="57" spans="1:11" x14ac:dyDescent="0.3">
      <c r="A57" s="1" t="s">
        <v>282</v>
      </c>
      <c r="B57" s="1" t="s">
        <v>175</v>
      </c>
      <c r="C57" s="1" t="s">
        <v>41</v>
      </c>
      <c r="D57" s="1" t="s">
        <v>151</v>
      </c>
      <c r="E57" s="4">
        <v>46192</v>
      </c>
      <c r="F57" s="1">
        <v>13</v>
      </c>
      <c r="G57" s="1">
        <v>3.6</v>
      </c>
      <c r="H57" s="1">
        <v>1496.42</v>
      </c>
      <c r="I57" s="1" t="s">
        <v>32</v>
      </c>
      <c r="J57" s="1" t="e">
        <f ca="1">_xludf.XLOOKUP(B57,Restaurants!$A$2:$A$16,Restaurants!$B$2:$B$16,"Unknown")</f>
        <v>#NAME?</v>
      </c>
      <c r="K57" s="1" t="e">
        <f ca="1">_xludf.XLOOKUP(B57,Restaurants!$A$2:$A$16,Restaurants!$D$2:$D$16,"Unknown")</f>
        <v>#NAME?</v>
      </c>
    </row>
    <row r="58" spans="1:11" x14ac:dyDescent="0.3">
      <c r="A58" s="1" t="s">
        <v>283</v>
      </c>
      <c r="B58" s="1" t="s">
        <v>149</v>
      </c>
      <c r="C58" s="1" t="s">
        <v>38</v>
      </c>
      <c r="D58" s="1" t="s">
        <v>151</v>
      </c>
      <c r="E58" s="4">
        <v>46213</v>
      </c>
      <c r="F58" s="1">
        <v>52</v>
      </c>
      <c r="G58" s="1">
        <v>4.5</v>
      </c>
      <c r="H58" s="1">
        <v>1731.27</v>
      </c>
      <c r="I58" s="1" t="s">
        <v>32</v>
      </c>
      <c r="J58" s="1" t="e">
        <f ca="1">_xludf.XLOOKUP(B58,Restaurants!$A$2:$A$16,Restaurants!$B$2:$B$16,"Unknown")</f>
        <v>#NAME?</v>
      </c>
      <c r="K58" s="1" t="e">
        <f ca="1">_xludf.XLOOKUP(B58,Restaurants!$A$2:$A$16,Restaurants!$D$2:$D$16,"Unknown")</f>
        <v>#NAME?</v>
      </c>
    </row>
    <row r="59" spans="1:11" x14ac:dyDescent="0.3">
      <c r="A59" s="1" t="s">
        <v>284</v>
      </c>
      <c r="B59" s="1" t="s">
        <v>145</v>
      </c>
      <c r="C59" s="1" t="s">
        <v>31</v>
      </c>
      <c r="D59" s="1" t="s">
        <v>147</v>
      </c>
      <c r="E59" s="4">
        <v>46177</v>
      </c>
      <c r="F59" s="1">
        <v>43</v>
      </c>
      <c r="G59" s="1">
        <v>3.9</v>
      </c>
      <c r="H59" s="1">
        <v>468.88</v>
      </c>
      <c r="I59" s="1" t="s">
        <v>32</v>
      </c>
      <c r="J59" s="1" t="e">
        <f ca="1">_xludf.XLOOKUP(B59,Restaurants!$A$2:$A$16,Restaurants!$B$2:$B$16,"Unknown")</f>
        <v>#NAME?</v>
      </c>
      <c r="K59" s="1" t="e">
        <f ca="1">_xludf.XLOOKUP(B59,Restaurants!$A$2:$A$16,Restaurants!$D$2:$D$16,"Unknown")</f>
        <v>#NAME?</v>
      </c>
    </row>
    <row r="60" spans="1:11" x14ac:dyDescent="0.3">
      <c r="A60" s="1" t="s">
        <v>285</v>
      </c>
      <c r="B60" s="1" t="s">
        <v>145</v>
      </c>
      <c r="C60" s="1" t="s">
        <v>38</v>
      </c>
      <c r="D60" s="1" t="s">
        <v>147</v>
      </c>
      <c r="E60" s="4">
        <v>46263</v>
      </c>
      <c r="F60" s="1">
        <v>8</v>
      </c>
      <c r="G60" s="1">
        <v>5</v>
      </c>
      <c r="H60" s="1">
        <v>465.64</v>
      </c>
      <c r="I60" s="1" t="s">
        <v>32</v>
      </c>
      <c r="J60" s="1" t="e">
        <f ca="1">_xludf.XLOOKUP(B60,Restaurants!$A$2:$A$16,Restaurants!$B$2:$B$16,"Unknown")</f>
        <v>#NAME?</v>
      </c>
      <c r="K60" s="1" t="e">
        <f ca="1">_xludf.XLOOKUP(B60,Restaurants!$A$2:$A$16,Restaurants!$D$2:$D$16,"Unknown")</f>
        <v>#NAME?</v>
      </c>
    </row>
    <row r="61" spans="1:11" x14ac:dyDescent="0.3">
      <c r="A61" s="1" t="s">
        <v>286</v>
      </c>
      <c r="B61" s="1" t="s">
        <v>160</v>
      </c>
      <c r="C61" s="1" t="s">
        <v>45</v>
      </c>
      <c r="D61" s="1" t="s">
        <v>162</v>
      </c>
      <c r="E61" s="4">
        <v>46204</v>
      </c>
      <c r="F61" s="1">
        <v>17</v>
      </c>
      <c r="G61" s="1">
        <v>4.5999999999999996</v>
      </c>
      <c r="H61" s="1">
        <v>591.16</v>
      </c>
      <c r="I61" s="1" t="s">
        <v>32</v>
      </c>
      <c r="J61" s="1" t="e">
        <f ca="1">_xludf.XLOOKUP(B61,Restaurants!$A$2:$A$16,Restaurants!$B$2:$B$16,"Unknown")</f>
        <v>#NAME?</v>
      </c>
      <c r="K61" s="1" t="e">
        <f ca="1">_xludf.XLOOKUP(B61,Restaurants!$A$2:$A$16,Restaurants!$D$2:$D$16,"Unknown")</f>
        <v>#NAME?</v>
      </c>
    </row>
    <row r="62" spans="1:11" x14ac:dyDescent="0.3">
      <c r="A62" s="1" t="s">
        <v>287</v>
      </c>
      <c r="B62" s="1" t="s">
        <v>163</v>
      </c>
      <c r="C62" s="1" t="s">
        <v>45</v>
      </c>
      <c r="D62" s="1" t="s">
        <v>147</v>
      </c>
      <c r="E62" s="4">
        <v>46220</v>
      </c>
      <c r="F62" s="1">
        <v>33</v>
      </c>
      <c r="G62" s="1">
        <v>4.2</v>
      </c>
      <c r="H62" s="1">
        <v>935.6</v>
      </c>
      <c r="I62" s="1" t="s">
        <v>32</v>
      </c>
      <c r="J62" s="1" t="e">
        <f ca="1">_xludf.XLOOKUP(B62,Restaurants!$A$2:$A$16,Restaurants!$B$2:$B$16,"Unknown")</f>
        <v>#NAME?</v>
      </c>
      <c r="K62" s="1" t="e">
        <f ca="1">_xludf.XLOOKUP(B62,Restaurants!$A$2:$A$16,Restaurants!$D$2:$D$16,"Unknown")</f>
        <v>#NAME?</v>
      </c>
    </row>
    <row r="63" spans="1:11" x14ac:dyDescent="0.3">
      <c r="A63" s="1" t="s">
        <v>288</v>
      </c>
      <c r="B63" s="1" t="s">
        <v>177</v>
      </c>
      <c r="C63" s="1" t="s">
        <v>38</v>
      </c>
      <c r="D63" s="1" t="s">
        <v>155</v>
      </c>
      <c r="E63" s="4">
        <v>46193</v>
      </c>
      <c r="F63" s="1">
        <v>47</v>
      </c>
      <c r="G63" s="1">
        <v>4.5</v>
      </c>
      <c r="H63" s="1">
        <v>1569.07</v>
      </c>
      <c r="I63" s="1" t="s">
        <v>32</v>
      </c>
      <c r="J63" s="1" t="e">
        <f ca="1">_xludf.XLOOKUP(B63,Restaurants!$A$2:$A$16,Restaurants!$B$2:$B$16,"Unknown")</f>
        <v>#NAME?</v>
      </c>
      <c r="K63" s="1" t="e">
        <f ca="1">_xludf.XLOOKUP(B63,Restaurants!$A$2:$A$16,Restaurants!$D$2:$D$16,"Unknown")</f>
        <v>#NAME?</v>
      </c>
    </row>
    <row r="64" spans="1:11" x14ac:dyDescent="0.3">
      <c r="A64" s="1" t="s">
        <v>289</v>
      </c>
      <c r="B64" s="1" t="s">
        <v>179</v>
      </c>
      <c r="C64" s="1" t="s">
        <v>38</v>
      </c>
      <c r="D64" s="1" t="s">
        <v>159</v>
      </c>
      <c r="E64" s="4">
        <v>46239</v>
      </c>
      <c r="F64" s="1">
        <v>13</v>
      </c>
      <c r="G64" s="1">
        <v>4.4000000000000004</v>
      </c>
      <c r="H64" s="1">
        <v>1185.0899999999999</v>
      </c>
      <c r="I64" s="1" t="s">
        <v>32</v>
      </c>
      <c r="J64" s="1" t="e">
        <f ca="1">_xludf.XLOOKUP(B64,Restaurants!$A$2:$A$16,Restaurants!$B$2:$B$16,"Unknown")</f>
        <v>#NAME?</v>
      </c>
      <c r="K64" s="1" t="e">
        <f ca="1">_xludf.XLOOKUP(B64,Restaurants!$A$2:$A$16,Restaurants!$D$2:$D$16,"Unknown")</f>
        <v>#NAME?</v>
      </c>
    </row>
    <row r="65" spans="1:11" x14ac:dyDescent="0.3">
      <c r="A65" s="1" t="s">
        <v>290</v>
      </c>
      <c r="B65" s="1" t="s">
        <v>165</v>
      </c>
      <c r="C65" s="1" t="s">
        <v>41</v>
      </c>
      <c r="D65" s="1" t="s">
        <v>151</v>
      </c>
      <c r="E65" s="4">
        <v>46245</v>
      </c>
      <c r="F65" s="1">
        <v>50</v>
      </c>
      <c r="G65" s="1">
        <v>4.8</v>
      </c>
      <c r="H65" s="1">
        <v>602.92999999999995</v>
      </c>
      <c r="I65" s="1" t="s">
        <v>32</v>
      </c>
      <c r="J65" s="1" t="e">
        <f ca="1">_xludf.XLOOKUP(B65,Restaurants!$A$2:$A$16,Restaurants!$B$2:$B$16,"Unknown")</f>
        <v>#NAME?</v>
      </c>
      <c r="K65" s="1" t="e">
        <f ca="1">_xludf.XLOOKUP(B65,Restaurants!$A$2:$A$16,Restaurants!$D$2:$D$16,"Unknown")</f>
        <v>#NAME?</v>
      </c>
    </row>
    <row r="66" spans="1:11" x14ac:dyDescent="0.3">
      <c r="A66" s="1" t="s">
        <v>291</v>
      </c>
      <c r="B66" s="1" t="s">
        <v>175</v>
      </c>
      <c r="C66" s="1" t="s">
        <v>38</v>
      </c>
      <c r="D66" s="1" t="s">
        <v>151</v>
      </c>
      <c r="E66" s="4">
        <v>46226</v>
      </c>
      <c r="F66" s="1">
        <v>38</v>
      </c>
      <c r="G66" s="1">
        <v>4.4000000000000004</v>
      </c>
      <c r="H66" s="1">
        <v>654.91</v>
      </c>
      <c r="I66" s="1" t="s">
        <v>32</v>
      </c>
      <c r="J66" s="1" t="e">
        <f ca="1">_xludf.XLOOKUP(B66,Restaurants!$A$2:$A$16,Restaurants!$B$2:$B$16,"Unknown")</f>
        <v>#NAME?</v>
      </c>
      <c r="K66" s="1" t="e">
        <f ca="1">_xludf.XLOOKUP(B66,Restaurants!$A$2:$A$16,Restaurants!$D$2:$D$16,"Unknown")</f>
        <v>#NAME?</v>
      </c>
    </row>
    <row r="67" spans="1:11" x14ac:dyDescent="0.3">
      <c r="A67" s="1" t="s">
        <v>292</v>
      </c>
      <c r="B67" s="1" t="s">
        <v>160</v>
      </c>
      <c r="C67" s="1" t="s">
        <v>38</v>
      </c>
      <c r="D67" s="1" t="s">
        <v>162</v>
      </c>
      <c r="E67" s="4">
        <v>46232</v>
      </c>
      <c r="F67" s="1">
        <v>24</v>
      </c>
      <c r="G67" s="1">
        <v>4.7</v>
      </c>
      <c r="H67" s="1">
        <v>536.16</v>
      </c>
      <c r="I67" s="1" t="s">
        <v>32</v>
      </c>
      <c r="J67" s="1" t="e">
        <f ca="1">_xludf.XLOOKUP(B67,Restaurants!$A$2:$A$16,Restaurants!$B$2:$B$16,"Unknown")</f>
        <v>#NAME?</v>
      </c>
      <c r="K67" s="1" t="e">
        <f ca="1">_xludf.XLOOKUP(B67,Restaurants!$A$2:$A$16,Restaurants!$D$2:$D$16,"Unknown")</f>
        <v>#NAME?</v>
      </c>
    </row>
    <row r="68" spans="1:11" x14ac:dyDescent="0.3">
      <c r="A68" s="1" t="s">
        <v>293</v>
      </c>
      <c r="B68" s="1" t="s">
        <v>163</v>
      </c>
      <c r="C68" s="1" t="s">
        <v>41</v>
      </c>
      <c r="D68" s="1" t="s">
        <v>147</v>
      </c>
      <c r="E68" s="4">
        <v>46265</v>
      </c>
      <c r="F68" s="1">
        <v>26</v>
      </c>
      <c r="G68" s="1">
        <v>4.9000000000000004</v>
      </c>
      <c r="H68" s="1">
        <v>943.36</v>
      </c>
      <c r="I68" s="1" t="s">
        <v>32</v>
      </c>
      <c r="J68" s="1" t="e">
        <f ca="1">_xludf.XLOOKUP(B68,Restaurants!$A$2:$A$16,Restaurants!$B$2:$B$16,"Unknown")</f>
        <v>#NAME?</v>
      </c>
      <c r="K68" s="1" t="e">
        <f ca="1">_xludf.XLOOKUP(B68,Restaurants!$A$2:$A$16,Restaurants!$D$2:$D$16,"Unknown")</f>
        <v>#NAME?</v>
      </c>
    </row>
    <row r="69" spans="1:11" x14ac:dyDescent="0.3">
      <c r="A69" s="1" t="s">
        <v>294</v>
      </c>
      <c r="B69" s="1" t="s">
        <v>179</v>
      </c>
      <c r="C69" s="1" t="s">
        <v>35</v>
      </c>
      <c r="D69" s="1" t="s">
        <v>159</v>
      </c>
      <c r="E69" s="4">
        <v>46223</v>
      </c>
      <c r="F69" s="1">
        <v>34</v>
      </c>
      <c r="G69" s="1">
        <v>5</v>
      </c>
      <c r="H69" s="1">
        <v>1392.13</v>
      </c>
      <c r="I69" s="1" t="s">
        <v>32</v>
      </c>
      <c r="J69" s="1" t="e">
        <f ca="1">_xludf.XLOOKUP(B69,Restaurants!$A$2:$A$16,Restaurants!$B$2:$B$16,"Unknown")</f>
        <v>#NAME?</v>
      </c>
      <c r="K69" s="1" t="e">
        <f ca="1">_xludf.XLOOKUP(B69,Restaurants!$A$2:$A$16,Restaurants!$D$2:$D$16,"Unknown")</f>
        <v>#NAME?</v>
      </c>
    </row>
    <row r="70" spans="1:11" x14ac:dyDescent="0.3">
      <c r="A70" s="1" t="s">
        <v>295</v>
      </c>
      <c r="B70" s="1" t="s">
        <v>173</v>
      </c>
      <c r="C70" s="1" t="s">
        <v>45</v>
      </c>
      <c r="D70" s="1" t="s">
        <v>147</v>
      </c>
      <c r="E70" s="4">
        <v>46198</v>
      </c>
      <c r="F70" s="1">
        <v>25</v>
      </c>
      <c r="G70" s="1">
        <v>3.4</v>
      </c>
      <c r="H70" s="1">
        <v>1472.35</v>
      </c>
      <c r="I70" s="1" t="s">
        <v>32</v>
      </c>
      <c r="J70" s="1" t="e">
        <f ca="1">_xludf.XLOOKUP(B70,Restaurants!$A$2:$A$16,Restaurants!$B$2:$B$16,"Unknown")</f>
        <v>#NAME?</v>
      </c>
      <c r="K70" s="1" t="e">
        <f ca="1">_xludf.XLOOKUP(B70,Restaurants!$A$2:$A$16,Restaurants!$D$2:$D$16,"Unknown")</f>
        <v>#NAME?</v>
      </c>
    </row>
    <row r="71" spans="1:11" x14ac:dyDescent="0.3">
      <c r="A71" s="1" t="s">
        <v>296</v>
      </c>
      <c r="B71" s="1" t="s">
        <v>149</v>
      </c>
      <c r="C71" s="1" t="s">
        <v>41</v>
      </c>
      <c r="D71" s="1" t="s">
        <v>151</v>
      </c>
      <c r="E71" s="4">
        <v>46186</v>
      </c>
      <c r="F71" s="1">
        <v>43</v>
      </c>
      <c r="G71" s="1">
        <v>4.7</v>
      </c>
      <c r="H71" s="1">
        <v>521.94000000000005</v>
      </c>
      <c r="I71" s="1" t="s">
        <v>32</v>
      </c>
      <c r="J71" s="1" t="e">
        <f ca="1">_xludf.XLOOKUP(B71,Restaurants!$A$2:$A$16,Restaurants!$B$2:$B$16,"Unknown")</f>
        <v>#NAME?</v>
      </c>
      <c r="K71" s="1" t="e">
        <f ca="1">_xludf.XLOOKUP(B71,Restaurants!$A$2:$A$16,Restaurants!$D$2:$D$16,"Unknown")</f>
        <v>#NAME?</v>
      </c>
    </row>
    <row r="72" spans="1:11" x14ac:dyDescent="0.3">
      <c r="A72" s="1" t="s">
        <v>297</v>
      </c>
      <c r="B72" s="1" t="s">
        <v>167</v>
      </c>
      <c r="C72" s="1" t="s">
        <v>35</v>
      </c>
      <c r="D72" s="1" t="s">
        <v>155</v>
      </c>
      <c r="E72" s="4">
        <v>46205</v>
      </c>
      <c r="F72" s="1">
        <v>54</v>
      </c>
      <c r="G72" s="1">
        <v>4</v>
      </c>
      <c r="H72" s="1">
        <v>1448.06</v>
      </c>
      <c r="I72" s="1" t="s">
        <v>32</v>
      </c>
      <c r="J72" s="1" t="e">
        <f ca="1">_xludf.XLOOKUP(B72,Restaurants!$A$2:$A$16,Restaurants!$B$2:$B$16,"Unknown")</f>
        <v>#NAME?</v>
      </c>
      <c r="K72" s="1" t="e">
        <f ca="1">_xludf.XLOOKUP(B72,Restaurants!$A$2:$A$16,Restaurants!$D$2:$D$16,"Unknown")</f>
        <v>#NAME?</v>
      </c>
    </row>
    <row r="73" spans="1:11" x14ac:dyDescent="0.3">
      <c r="A73" s="1" t="s">
        <v>298</v>
      </c>
      <c r="B73" s="1" t="s">
        <v>145</v>
      </c>
      <c r="C73" s="1" t="s">
        <v>45</v>
      </c>
      <c r="D73" s="1" t="s">
        <v>147</v>
      </c>
      <c r="E73" s="4">
        <v>46250</v>
      </c>
      <c r="F73" s="1">
        <v>34</v>
      </c>
      <c r="G73" s="1">
        <v>4.8</v>
      </c>
      <c r="H73" s="1">
        <v>1177.25</v>
      </c>
      <c r="I73" s="1" t="s">
        <v>32</v>
      </c>
      <c r="J73" s="1" t="e">
        <f ca="1">_xludf.XLOOKUP(B73,Restaurants!$A$2:$A$16,Restaurants!$B$2:$B$16,"Unknown")</f>
        <v>#NAME?</v>
      </c>
      <c r="K73" s="1" t="e">
        <f ca="1">_xludf.XLOOKUP(B73,Restaurants!$A$2:$A$16,Restaurants!$D$2:$D$16,"Unknown")</f>
        <v>#NAME?</v>
      </c>
    </row>
    <row r="74" spans="1:11" x14ac:dyDescent="0.3">
      <c r="A74" s="1" t="s">
        <v>299</v>
      </c>
      <c r="B74" s="1" t="s">
        <v>181</v>
      </c>
      <c r="C74" s="1" t="s">
        <v>45</v>
      </c>
      <c r="D74" s="1" t="s">
        <v>162</v>
      </c>
      <c r="E74" s="4">
        <v>46250</v>
      </c>
      <c r="F74" s="1">
        <v>33</v>
      </c>
      <c r="G74" s="1">
        <v>4.5</v>
      </c>
      <c r="H74" s="1">
        <v>459.53</v>
      </c>
      <c r="I74" s="1" t="s">
        <v>32</v>
      </c>
      <c r="J74" s="1" t="e">
        <f ca="1">_xludf.XLOOKUP(B74,Restaurants!$A$2:$A$16,Restaurants!$B$2:$B$16,"Unknown")</f>
        <v>#NAME?</v>
      </c>
      <c r="K74" s="1" t="e">
        <f ca="1">_xludf.XLOOKUP(B74,Restaurants!$A$2:$A$16,Restaurants!$D$2:$D$16,"Unknown")</f>
        <v>#NAME?</v>
      </c>
    </row>
    <row r="75" spans="1:11" x14ac:dyDescent="0.3">
      <c r="A75" s="1" t="s">
        <v>300</v>
      </c>
      <c r="B75" s="1" t="s">
        <v>167</v>
      </c>
      <c r="C75" s="1" t="s">
        <v>31</v>
      </c>
      <c r="D75" s="1" t="s">
        <v>155</v>
      </c>
      <c r="E75" s="4">
        <v>46261</v>
      </c>
      <c r="F75" s="1">
        <v>25</v>
      </c>
      <c r="G75" s="1">
        <v>3.8</v>
      </c>
      <c r="H75" s="1">
        <v>1637.61</v>
      </c>
      <c r="I75" s="1" t="s">
        <v>32</v>
      </c>
      <c r="J75" s="1" t="e">
        <f ca="1">_xludf.XLOOKUP(B75,Restaurants!$A$2:$A$16,Restaurants!$B$2:$B$16,"Unknown")</f>
        <v>#NAME?</v>
      </c>
      <c r="K75" s="1" t="e">
        <f ca="1">_xludf.XLOOKUP(B75,Restaurants!$A$2:$A$16,Restaurants!$D$2:$D$16,"Unknown")</f>
        <v>#NAME?</v>
      </c>
    </row>
    <row r="76" spans="1:11" x14ac:dyDescent="0.3">
      <c r="A76" s="1" t="s">
        <v>301</v>
      </c>
      <c r="B76" s="1" t="s">
        <v>160</v>
      </c>
      <c r="C76" s="1" t="s">
        <v>31</v>
      </c>
      <c r="D76" s="1" t="s">
        <v>162</v>
      </c>
      <c r="E76" s="4">
        <v>46218</v>
      </c>
      <c r="F76" s="1">
        <v>55</v>
      </c>
      <c r="G76" s="1">
        <v>4.2</v>
      </c>
      <c r="H76" s="1">
        <v>1709.22</v>
      </c>
      <c r="I76" s="1" t="s">
        <v>32</v>
      </c>
      <c r="J76" s="1" t="e">
        <f ca="1">_xludf.XLOOKUP(B76,Restaurants!$A$2:$A$16,Restaurants!$B$2:$B$16,"Unknown")</f>
        <v>#NAME?</v>
      </c>
      <c r="K76" s="1" t="e">
        <f ca="1">_xludf.XLOOKUP(B76,Restaurants!$A$2:$A$16,Restaurants!$D$2:$D$16,"Unknown")</f>
        <v>#NAME?</v>
      </c>
    </row>
    <row r="77" spans="1:11" x14ac:dyDescent="0.3">
      <c r="A77" s="1" t="s">
        <v>302</v>
      </c>
      <c r="B77" s="1" t="s">
        <v>175</v>
      </c>
      <c r="C77" s="1" t="s">
        <v>35</v>
      </c>
      <c r="D77" s="1" t="s">
        <v>151</v>
      </c>
      <c r="E77" s="4">
        <v>46233</v>
      </c>
      <c r="F77" s="1">
        <v>16</v>
      </c>
      <c r="G77" s="1">
        <v>4.3</v>
      </c>
      <c r="H77" s="1">
        <v>390.2</v>
      </c>
      <c r="I77" s="1" t="s">
        <v>32</v>
      </c>
      <c r="J77" s="1" t="e">
        <f ca="1">_xludf.XLOOKUP(B77,Restaurants!$A$2:$A$16,Restaurants!$B$2:$B$16,"Unknown")</f>
        <v>#NAME?</v>
      </c>
      <c r="K77" s="1" t="e">
        <f ca="1">_xludf.XLOOKUP(B77,Restaurants!$A$2:$A$16,Restaurants!$D$2:$D$16,"Unknown")</f>
        <v>#NAME?</v>
      </c>
    </row>
    <row r="78" spans="1:11" x14ac:dyDescent="0.3">
      <c r="A78" s="1" t="s">
        <v>303</v>
      </c>
      <c r="B78" s="1" t="s">
        <v>153</v>
      </c>
      <c r="C78" s="1" t="s">
        <v>31</v>
      </c>
      <c r="D78" s="1" t="s">
        <v>155</v>
      </c>
      <c r="E78" s="4">
        <v>46249</v>
      </c>
      <c r="F78" s="1">
        <v>49</v>
      </c>
      <c r="G78" s="1">
        <v>3.5</v>
      </c>
      <c r="H78" s="1">
        <v>578.12</v>
      </c>
      <c r="I78" s="1" t="s">
        <v>32</v>
      </c>
      <c r="J78" s="1" t="e">
        <f ca="1">_xludf.XLOOKUP(B78,Restaurants!$A$2:$A$16,Restaurants!$B$2:$B$16,"Unknown")</f>
        <v>#NAME?</v>
      </c>
      <c r="K78" s="1" t="e">
        <f ca="1">_xludf.XLOOKUP(B78,Restaurants!$A$2:$A$16,Restaurants!$D$2:$D$16,"Unknown")</f>
        <v>#NAME?</v>
      </c>
    </row>
    <row r="79" spans="1:11" x14ac:dyDescent="0.3">
      <c r="A79" s="1" t="s">
        <v>304</v>
      </c>
      <c r="B79" s="1" t="s">
        <v>169</v>
      </c>
      <c r="C79" s="1" t="s">
        <v>31</v>
      </c>
      <c r="D79" s="1" t="s">
        <v>159</v>
      </c>
      <c r="E79" s="4">
        <v>46196</v>
      </c>
      <c r="F79" s="1">
        <v>29</v>
      </c>
      <c r="G79" s="1">
        <v>4.5</v>
      </c>
      <c r="H79" s="1">
        <v>252.28</v>
      </c>
      <c r="I79" s="1" t="s">
        <v>32</v>
      </c>
      <c r="J79" s="1" t="e">
        <f ca="1">_xludf.XLOOKUP(B79,Restaurants!$A$2:$A$16,Restaurants!$B$2:$B$16,"Unknown")</f>
        <v>#NAME?</v>
      </c>
      <c r="K79" s="1" t="e">
        <f ca="1">_xludf.XLOOKUP(B79,Restaurants!$A$2:$A$16,Restaurants!$D$2:$D$16,"Unknown")</f>
        <v>#NAME?</v>
      </c>
    </row>
    <row r="80" spans="1:11" x14ac:dyDescent="0.3">
      <c r="A80" s="1" t="s">
        <v>305</v>
      </c>
      <c r="B80" s="1" t="s">
        <v>173</v>
      </c>
      <c r="C80" s="1" t="s">
        <v>31</v>
      </c>
      <c r="D80" s="1" t="s">
        <v>147</v>
      </c>
      <c r="E80" s="4">
        <v>46199</v>
      </c>
      <c r="F80" s="1">
        <v>35</v>
      </c>
      <c r="G80" s="1">
        <v>5</v>
      </c>
      <c r="H80" s="1">
        <v>383.75</v>
      </c>
      <c r="I80" s="1" t="s">
        <v>32</v>
      </c>
      <c r="J80" s="1" t="e">
        <f ca="1">_xludf.XLOOKUP(B80,Restaurants!$A$2:$A$16,Restaurants!$B$2:$B$16,"Unknown")</f>
        <v>#NAME?</v>
      </c>
      <c r="K80" s="1" t="e">
        <f ca="1">_xludf.XLOOKUP(B80,Restaurants!$A$2:$A$16,Restaurants!$D$2:$D$16,"Unknown")</f>
        <v>#NAME?</v>
      </c>
    </row>
    <row r="81" spans="1:11" x14ac:dyDescent="0.3">
      <c r="A81" s="1" t="s">
        <v>306</v>
      </c>
      <c r="B81" s="1" t="s">
        <v>169</v>
      </c>
      <c r="C81" s="1" t="s">
        <v>45</v>
      </c>
      <c r="D81" s="1" t="s">
        <v>159</v>
      </c>
      <c r="E81" s="4">
        <v>46179</v>
      </c>
      <c r="F81" s="1">
        <v>42</v>
      </c>
      <c r="G81" s="1">
        <v>3.5</v>
      </c>
      <c r="H81" s="1">
        <v>1226.49</v>
      </c>
      <c r="I81" s="1" t="s">
        <v>32</v>
      </c>
      <c r="J81" s="1" t="e">
        <f ca="1">_xludf.XLOOKUP(B81,Restaurants!$A$2:$A$16,Restaurants!$B$2:$B$16,"Unknown")</f>
        <v>#NAME?</v>
      </c>
      <c r="K81" s="1" t="e">
        <f ca="1">_xludf.XLOOKUP(B81,Restaurants!$A$2:$A$16,Restaurants!$D$2:$D$16,"Unknown")</f>
        <v>#NAME?</v>
      </c>
    </row>
    <row r="82" spans="1:11" x14ac:dyDescent="0.3">
      <c r="A82" s="1" t="s">
        <v>307</v>
      </c>
      <c r="B82" s="1" t="s">
        <v>157</v>
      </c>
      <c r="C82" s="1" t="s">
        <v>35</v>
      </c>
      <c r="D82" s="1" t="s">
        <v>159</v>
      </c>
      <c r="E82" s="4">
        <v>46225</v>
      </c>
      <c r="F82" s="1">
        <v>17</v>
      </c>
      <c r="G82" s="1">
        <v>3.4</v>
      </c>
      <c r="H82" s="1">
        <v>348</v>
      </c>
      <c r="I82" s="1" t="s">
        <v>32</v>
      </c>
      <c r="J82" s="1" t="e">
        <f ca="1">_xludf.XLOOKUP(B82,Restaurants!$A$2:$A$16,Restaurants!$B$2:$B$16,"Unknown")</f>
        <v>#NAME?</v>
      </c>
      <c r="K82" s="1" t="e">
        <f ca="1">_xludf.XLOOKUP(B82,Restaurants!$A$2:$A$16,Restaurants!$D$2:$D$16,"Unknown")</f>
        <v>#NAME?</v>
      </c>
    </row>
    <row r="83" spans="1:11" x14ac:dyDescent="0.3">
      <c r="A83" s="1" t="s">
        <v>308</v>
      </c>
      <c r="B83" s="1" t="s">
        <v>163</v>
      </c>
      <c r="C83" s="1" t="s">
        <v>35</v>
      </c>
      <c r="D83" s="1" t="s">
        <v>147</v>
      </c>
      <c r="E83" s="4">
        <v>46187</v>
      </c>
      <c r="F83" s="1">
        <v>54</v>
      </c>
      <c r="G83" s="1">
        <v>4.5</v>
      </c>
      <c r="H83" s="1">
        <v>1479.27</v>
      </c>
      <c r="I83" s="1" t="s">
        <v>32</v>
      </c>
      <c r="J83" s="1" t="e">
        <f ca="1">_xludf.XLOOKUP(B83,Restaurants!$A$2:$A$16,Restaurants!$B$2:$B$16,"Unknown")</f>
        <v>#NAME?</v>
      </c>
      <c r="K83" s="1" t="e">
        <f ca="1">_xludf.XLOOKUP(B83,Restaurants!$A$2:$A$16,Restaurants!$D$2:$D$16,"Unknown")</f>
        <v>#NAME?</v>
      </c>
    </row>
    <row r="84" spans="1:11" x14ac:dyDescent="0.3">
      <c r="A84" s="1" t="s">
        <v>309</v>
      </c>
      <c r="B84" s="1" t="s">
        <v>171</v>
      </c>
      <c r="C84" s="1" t="s">
        <v>41</v>
      </c>
      <c r="D84" s="1" t="s">
        <v>162</v>
      </c>
      <c r="E84" s="4">
        <v>46193</v>
      </c>
      <c r="F84" s="1">
        <v>45</v>
      </c>
      <c r="G84" s="1">
        <v>3.5</v>
      </c>
      <c r="H84" s="1">
        <v>616.64</v>
      </c>
      <c r="I84" s="1" t="s">
        <v>32</v>
      </c>
      <c r="J84" s="1" t="e">
        <f ca="1">_xludf.XLOOKUP(B84,Restaurants!$A$2:$A$16,Restaurants!$B$2:$B$16,"Unknown")</f>
        <v>#NAME?</v>
      </c>
      <c r="K84" s="1" t="e">
        <f ca="1">_xludf.XLOOKUP(B84,Restaurants!$A$2:$A$16,Restaurants!$D$2:$D$16,"Unknown")</f>
        <v>#NAME?</v>
      </c>
    </row>
    <row r="85" spans="1:11" x14ac:dyDescent="0.3">
      <c r="A85" s="1" t="s">
        <v>310</v>
      </c>
      <c r="B85" s="1" t="s">
        <v>163</v>
      </c>
      <c r="C85" s="1" t="s">
        <v>38</v>
      </c>
      <c r="D85" s="1" t="s">
        <v>147</v>
      </c>
      <c r="E85" s="4">
        <v>46184</v>
      </c>
      <c r="F85" s="1">
        <v>45</v>
      </c>
      <c r="G85" s="1">
        <v>4.3</v>
      </c>
      <c r="H85" s="1">
        <v>929.29</v>
      </c>
      <c r="I85" s="1" t="s">
        <v>32</v>
      </c>
      <c r="J85" s="1" t="e">
        <f ca="1">_xludf.XLOOKUP(B85,Restaurants!$A$2:$A$16,Restaurants!$B$2:$B$16,"Unknown")</f>
        <v>#NAME?</v>
      </c>
      <c r="K85" s="1" t="e">
        <f ca="1">_xludf.XLOOKUP(B85,Restaurants!$A$2:$A$16,Restaurants!$D$2:$D$16,"Unknown")</f>
        <v>#NAME?</v>
      </c>
    </row>
    <row r="86" spans="1:11" x14ac:dyDescent="0.3">
      <c r="A86" s="1" t="s">
        <v>311</v>
      </c>
      <c r="B86" s="1" t="s">
        <v>149</v>
      </c>
      <c r="C86" s="1" t="s">
        <v>31</v>
      </c>
      <c r="D86" s="1" t="s">
        <v>151</v>
      </c>
      <c r="E86" s="4">
        <v>46230</v>
      </c>
      <c r="F86" s="1">
        <v>24</v>
      </c>
      <c r="G86" s="1">
        <v>3.3</v>
      </c>
      <c r="H86" s="1">
        <v>180.57</v>
      </c>
      <c r="I86" s="1" t="s">
        <v>32</v>
      </c>
      <c r="J86" s="1" t="e">
        <f ca="1">_xludf.XLOOKUP(B86,Restaurants!$A$2:$A$16,Restaurants!$B$2:$B$16,"Unknown")</f>
        <v>#NAME?</v>
      </c>
      <c r="K86" s="1" t="e">
        <f ca="1">_xludf.XLOOKUP(B86,Restaurants!$A$2:$A$16,Restaurants!$D$2:$D$16,"Unknown")</f>
        <v>#NAME?</v>
      </c>
    </row>
    <row r="87" spans="1:11" x14ac:dyDescent="0.3">
      <c r="A87" s="1" t="s">
        <v>312</v>
      </c>
      <c r="B87" s="1" t="s">
        <v>179</v>
      </c>
      <c r="C87" s="1" t="s">
        <v>41</v>
      </c>
      <c r="D87" s="1" t="s">
        <v>159</v>
      </c>
      <c r="E87" s="4">
        <v>46193</v>
      </c>
      <c r="F87" s="1">
        <v>18</v>
      </c>
      <c r="G87" s="1">
        <v>4.5999999999999996</v>
      </c>
      <c r="H87" s="1">
        <v>425.49</v>
      </c>
      <c r="I87" s="1" t="s">
        <v>32</v>
      </c>
      <c r="J87" s="1" t="e">
        <f ca="1">_xludf.XLOOKUP(B87,Restaurants!$A$2:$A$16,Restaurants!$B$2:$B$16,"Unknown")</f>
        <v>#NAME?</v>
      </c>
      <c r="K87" s="1" t="e">
        <f ca="1">_xludf.XLOOKUP(B87,Restaurants!$A$2:$A$16,Restaurants!$D$2:$D$16,"Unknown")</f>
        <v>#NAME?</v>
      </c>
    </row>
    <row r="88" spans="1:11" x14ac:dyDescent="0.3">
      <c r="A88" s="1" t="s">
        <v>313</v>
      </c>
      <c r="B88" s="1" t="s">
        <v>179</v>
      </c>
      <c r="C88" s="1" t="s">
        <v>35</v>
      </c>
      <c r="D88" s="1" t="s">
        <v>159</v>
      </c>
      <c r="E88" s="4">
        <v>46248</v>
      </c>
      <c r="F88" s="1">
        <v>45</v>
      </c>
      <c r="G88" s="1">
        <v>3.4</v>
      </c>
      <c r="H88" s="1">
        <v>334.31</v>
      </c>
      <c r="I88" s="1" t="s">
        <v>32</v>
      </c>
      <c r="J88" s="1" t="e">
        <f ca="1">_xludf.XLOOKUP(B88,Restaurants!$A$2:$A$16,Restaurants!$B$2:$B$16,"Unknown")</f>
        <v>#NAME?</v>
      </c>
      <c r="K88" s="1" t="e">
        <f ca="1">_xludf.XLOOKUP(B88,Restaurants!$A$2:$A$16,Restaurants!$D$2:$D$16,"Unknown")</f>
        <v>#NAME?</v>
      </c>
    </row>
    <row r="89" spans="1:11" x14ac:dyDescent="0.3">
      <c r="A89" s="1" t="s">
        <v>314</v>
      </c>
      <c r="B89" s="1" t="s">
        <v>181</v>
      </c>
      <c r="C89" s="1" t="s">
        <v>38</v>
      </c>
      <c r="D89" s="1" t="s">
        <v>162</v>
      </c>
      <c r="E89" s="4">
        <v>46184</v>
      </c>
      <c r="F89" s="1">
        <v>43</v>
      </c>
      <c r="G89" s="1">
        <v>3.5</v>
      </c>
      <c r="H89" s="1">
        <v>1684.45</v>
      </c>
      <c r="I89" s="1" t="s">
        <v>32</v>
      </c>
      <c r="J89" s="1" t="e">
        <f ca="1">_xludf.XLOOKUP(B89,Restaurants!$A$2:$A$16,Restaurants!$B$2:$B$16,"Unknown")</f>
        <v>#NAME?</v>
      </c>
      <c r="K89" s="1" t="e">
        <f ca="1">_xludf.XLOOKUP(B89,Restaurants!$A$2:$A$16,Restaurants!$D$2:$D$16,"Unknown")</f>
        <v>#NAME?</v>
      </c>
    </row>
    <row r="90" spans="1:11" x14ac:dyDescent="0.3">
      <c r="A90" s="1" t="s">
        <v>315</v>
      </c>
      <c r="B90" s="1" t="s">
        <v>157</v>
      </c>
      <c r="C90" s="1" t="s">
        <v>41</v>
      </c>
      <c r="D90" s="1" t="s">
        <v>159</v>
      </c>
      <c r="E90" s="4">
        <v>46254</v>
      </c>
      <c r="F90" s="1">
        <v>19</v>
      </c>
      <c r="G90" s="1">
        <v>3.3</v>
      </c>
      <c r="H90" s="1">
        <v>551.46</v>
      </c>
      <c r="I90" s="1" t="s">
        <v>32</v>
      </c>
      <c r="J90" s="1" t="e">
        <f ca="1">_xludf.XLOOKUP(B90,Restaurants!$A$2:$A$16,Restaurants!$B$2:$B$16,"Unknown")</f>
        <v>#NAME?</v>
      </c>
      <c r="K90" s="1" t="e">
        <f ca="1">_xludf.XLOOKUP(B90,Restaurants!$A$2:$A$16,Restaurants!$D$2:$D$16,"Unknown")</f>
        <v>#NAME?</v>
      </c>
    </row>
    <row r="91" spans="1:11" x14ac:dyDescent="0.3">
      <c r="A91" s="1" t="s">
        <v>316</v>
      </c>
      <c r="B91" s="1" t="s">
        <v>153</v>
      </c>
      <c r="C91" s="1" t="s">
        <v>41</v>
      </c>
      <c r="D91" s="1" t="s">
        <v>155</v>
      </c>
      <c r="E91" s="4">
        <v>46222</v>
      </c>
      <c r="F91" s="1">
        <v>33</v>
      </c>
      <c r="G91" s="1">
        <v>4.9000000000000004</v>
      </c>
      <c r="H91" s="1">
        <v>842.68</v>
      </c>
      <c r="I91" s="1" t="s">
        <v>42</v>
      </c>
      <c r="J91" s="1" t="e">
        <f ca="1">_xludf.XLOOKUP(B91,Restaurants!$A$2:$A$16,Restaurants!$B$2:$B$16,"Unknown")</f>
        <v>#NAME?</v>
      </c>
      <c r="K91" s="1" t="e">
        <f ca="1">_xludf.XLOOKUP(B91,Restaurants!$A$2:$A$16,Restaurants!$D$2:$D$16,"Unknown")</f>
        <v>#NAME?</v>
      </c>
    </row>
    <row r="92" spans="1:11" x14ac:dyDescent="0.3">
      <c r="A92" s="1" t="s">
        <v>317</v>
      </c>
      <c r="B92" s="1" t="s">
        <v>165</v>
      </c>
      <c r="C92" s="1" t="s">
        <v>35</v>
      </c>
      <c r="D92" s="1" t="s">
        <v>151</v>
      </c>
      <c r="E92" s="4">
        <v>46214</v>
      </c>
      <c r="F92" s="1">
        <v>39</v>
      </c>
      <c r="G92" s="1">
        <v>3.3</v>
      </c>
      <c r="H92" s="1">
        <v>242.73</v>
      </c>
      <c r="I92" s="1" t="s">
        <v>32</v>
      </c>
      <c r="J92" s="1" t="e">
        <f ca="1">_xludf.XLOOKUP(B92,Restaurants!$A$2:$A$16,Restaurants!$B$2:$B$16,"Unknown")</f>
        <v>#NAME?</v>
      </c>
      <c r="K92" s="1" t="e">
        <f ca="1">_xludf.XLOOKUP(B92,Restaurants!$A$2:$A$16,Restaurants!$D$2:$D$16,"Unknown")</f>
        <v>#NAME?</v>
      </c>
    </row>
    <row r="93" spans="1:11" x14ac:dyDescent="0.3">
      <c r="A93" s="1" t="s">
        <v>318</v>
      </c>
      <c r="B93" s="1" t="s">
        <v>149</v>
      </c>
      <c r="C93" s="1" t="s">
        <v>45</v>
      </c>
      <c r="D93" s="1" t="s">
        <v>151</v>
      </c>
      <c r="E93" s="4">
        <v>46220</v>
      </c>
      <c r="F93" s="1">
        <v>66</v>
      </c>
      <c r="G93" s="1">
        <v>3.7</v>
      </c>
      <c r="H93" s="1">
        <v>1340.41</v>
      </c>
      <c r="I93" s="1" t="s">
        <v>90</v>
      </c>
      <c r="J93" s="1" t="e">
        <f ca="1">_xludf.XLOOKUP(B93,Restaurants!$A$2:$A$16,Restaurants!$B$2:$B$16,"Unknown")</f>
        <v>#NAME?</v>
      </c>
      <c r="K93" s="1" t="e">
        <f ca="1">_xludf.XLOOKUP(B93,Restaurants!$A$2:$A$16,Restaurants!$D$2:$D$16,"Unknown")</f>
        <v>#NAME?</v>
      </c>
    </row>
    <row r="94" spans="1:11" x14ac:dyDescent="0.3">
      <c r="A94" s="1" t="s">
        <v>319</v>
      </c>
      <c r="B94" s="1" t="s">
        <v>160</v>
      </c>
      <c r="C94" s="1" t="s">
        <v>41</v>
      </c>
      <c r="D94" s="1" t="s">
        <v>162</v>
      </c>
      <c r="E94" s="4">
        <v>46240</v>
      </c>
      <c r="F94" s="1">
        <v>13</v>
      </c>
      <c r="G94" s="1">
        <v>4.0999999999999996</v>
      </c>
      <c r="H94" s="1">
        <v>1186</v>
      </c>
      <c r="I94" s="1" t="s">
        <v>32</v>
      </c>
      <c r="J94" s="1" t="e">
        <f ca="1">_xludf.XLOOKUP(B94,Restaurants!$A$2:$A$16,Restaurants!$B$2:$B$16,"Unknown")</f>
        <v>#NAME?</v>
      </c>
      <c r="K94" s="1" t="e">
        <f ca="1">_xludf.XLOOKUP(B94,Restaurants!$A$2:$A$16,Restaurants!$D$2:$D$16,"Unknown")</f>
        <v>#NAME?</v>
      </c>
    </row>
    <row r="95" spans="1:11" x14ac:dyDescent="0.3">
      <c r="A95" s="1" t="s">
        <v>320</v>
      </c>
      <c r="B95" s="1" t="s">
        <v>181</v>
      </c>
      <c r="C95" s="1" t="s">
        <v>38</v>
      </c>
      <c r="D95" s="1" t="s">
        <v>162</v>
      </c>
      <c r="E95" s="4">
        <v>46174</v>
      </c>
      <c r="F95" s="1">
        <v>29</v>
      </c>
      <c r="G95" s="1">
        <v>2.6</v>
      </c>
      <c r="H95" s="1">
        <v>581.29999999999995</v>
      </c>
      <c r="I95" s="1" t="s">
        <v>32</v>
      </c>
      <c r="J95" s="1" t="e">
        <f ca="1">_xludf.XLOOKUP(B95,Restaurants!$A$2:$A$16,Restaurants!$B$2:$B$16,"Unknown")</f>
        <v>#NAME?</v>
      </c>
      <c r="K95" s="1" t="e">
        <f ca="1">_xludf.XLOOKUP(B95,Restaurants!$A$2:$A$16,Restaurants!$D$2:$D$16,"Unknown")</f>
        <v>#NAME?</v>
      </c>
    </row>
    <row r="96" spans="1:11" x14ac:dyDescent="0.3">
      <c r="A96" s="1" t="s">
        <v>321</v>
      </c>
      <c r="B96" s="1" t="s">
        <v>153</v>
      </c>
      <c r="C96" s="1" t="s">
        <v>35</v>
      </c>
      <c r="D96" s="1" t="s">
        <v>155</v>
      </c>
      <c r="E96" s="4">
        <v>46237</v>
      </c>
      <c r="F96" s="1">
        <v>39</v>
      </c>
      <c r="G96" s="1">
        <v>3.8</v>
      </c>
      <c r="H96" s="1">
        <v>1623.86</v>
      </c>
      <c r="I96" s="1" t="s">
        <v>42</v>
      </c>
      <c r="J96" s="1" t="e">
        <f ca="1">_xludf.XLOOKUP(B96,Restaurants!$A$2:$A$16,Restaurants!$B$2:$B$16,"Unknown")</f>
        <v>#NAME?</v>
      </c>
      <c r="K96" s="1" t="e">
        <f ca="1">_xludf.XLOOKUP(B96,Restaurants!$A$2:$A$16,Restaurants!$D$2:$D$16,"Unknown")</f>
        <v>#NAME?</v>
      </c>
    </row>
    <row r="97" spans="1:11" x14ac:dyDescent="0.3">
      <c r="A97" s="1" t="s">
        <v>322</v>
      </c>
      <c r="B97" s="1" t="s">
        <v>160</v>
      </c>
      <c r="C97" s="1" t="s">
        <v>45</v>
      </c>
      <c r="D97" s="1" t="s">
        <v>162</v>
      </c>
      <c r="E97" s="4">
        <v>46262</v>
      </c>
      <c r="F97" s="1">
        <v>32</v>
      </c>
      <c r="G97" s="1">
        <v>4</v>
      </c>
      <c r="H97" s="1">
        <v>410.97</v>
      </c>
      <c r="I97" s="1" t="s">
        <v>32</v>
      </c>
      <c r="J97" s="1" t="e">
        <f ca="1">_xludf.XLOOKUP(B97,Restaurants!$A$2:$A$16,Restaurants!$B$2:$B$16,"Unknown")</f>
        <v>#NAME?</v>
      </c>
      <c r="K97" s="1" t="e">
        <f ca="1">_xludf.XLOOKUP(B97,Restaurants!$A$2:$A$16,Restaurants!$D$2:$D$16,"Unknown")</f>
        <v>#NAME?</v>
      </c>
    </row>
    <row r="98" spans="1:11" x14ac:dyDescent="0.3">
      <c r="A98" s="1" t="s">
        <v>323</v>
      </c>
      <c r="B98" s="1" t="s">
        <v>163</v>
      </c>
      <c r="C98" s="1" t="s">
        <v>31</v>
      </c>
      <c r="D98" s="1" t="s">
        <v>147</v>
      </c>
      <c r="E98" s="4">
        <v>46176</v>
      </c>
      <c r="F98" s="1">
        <v>41</v>
      </c>
      <c r="G98" s="1">
        <v>4.3</v>
      </c>
      <c r="H98" s="1">
        <v>413.32</v>
      </c>
      <c r="I98" s="1" t="s">
        <v>42</v>
      </c>
      <c r="J98" s="1" t="e">
        <f ca="1">_xludf.XLOOKUP(B98,Restaurants!$A$2:$A$16,Restaurants!$B$2:$B$16,"Unknown")</f>
        <v>#NAME?</v>
      </c>
      <c r="K98" s="1" t="e">
        <f ca="1">_xludf.XLOOKUP(B98,Restaurants!$A$2:$A$16,Restaurants!$D$2:$D$16,"Unknown")</f>
        <v>#NAME?</v>
      </c>
    </row>
    <row r="99" spans="1:11" x14ac:dyDescent="0.3">
      <c r="A99" s="1" t="s">
        <v>324</v>
      </c>
      <c r="B99" s="1" t="s">
        <v>160</v>
      </c>
      <c r="C99" s="1" t="s">
        <v>35</v>
      </c>
      <c r="D99" s="1" t="s">
        <v>162</v>
      </c>
      <c r="E99" s="4">
        <v>46180</v>
      </c>
      <c r="F99" s="1">
        <v>34</v>
      </c>
      <c r="G99" s="1">
        <v>5</v>
      </c>
      <c r="H99" s="1">
        <v>431.03</v>
      </c>
      <c r="I99" s="1" t="s">
        <v>32</v>
      </c>
      <c r="J99" s="1" t="e">
        <f ca="1">_xludf.XLOOKUP(B99,Restaurants!$A$2:$A$16,Restaurants!$B$2:$B$16,"Unknown")</f>
        <v>#NAME?</v>
      </c>
      <c r="K99" s="1" t="e">
        <f ca="1">_xludf.XLOOKUP(B99,Restaurants!$A$2:$A$16,Restaurants!$D$2:$D$16,"Unknown")</f>
        <v>#NAME?</v>
      </c>
    </row>
    <row r="100" spans="1:11" x14ac:dyDescent="0.3">
      <c r="A100" s="1" t="s">
        <v>325</v>
      </c>
      <c r="B100" s="1" t="s">
        <v>157</v>
      </c>
      <c r="C100" s="1" t="s">
        <v>35</v>
      </c>
      <c r="D100" s="1" t="s">
        <v>159</v>
      </c>
      <c r="E100" s="4">
        <v>46231</v>
      </c>
      <c r="F100" s="1">
        <v>32</v>
      </c>
      <c r="G100" s="1">
        <v>3.1</v>
      </c>
      <c r="H100" s="1">
        <v>911.36</v>
      </c>
      <c r="I100" s="1" t="s">
        <v>32</v>
      </c>
      <c r="J100" s="1" t="e">
        <f ca="1">_xludf.XLOOKUP(B100,Restaurants!$A$2:$A$16,Restaurants!$B$2:$B$16,"Unknown")</f>
        <v>#NAME?</v>
      </c>
      <c r="K100" s="1" t="e">
        <f ca="1">_xludf.XLOOKUP(B100,Restaurants!$A$2:$A$16,Restaurants!$D$2:$D$16,"Unknown")</f>
        <v>#NAME?</v>
      </c>
    </row>
    <row r="101" spans="1:11" x14ac:dyDescent="0.3">
      <c r="A101" s="1" t="s">
        <v>326</v>
      </c>
      <c r="B101" s="1" t="s">
        <v>173</v>
      </c>
      <c r="C101" s="1" t="s">
        <v>45</v>
      </c>
      <c r="D101" s="1" t="s">
        <v>147</v>
      </c>
      <c r="E101" s="4">
        <v>46184</v>
      </c>
      <c r="F101" s="1">
        <v>21</v>
      </c>
      <c r="G101" s="1">
        <v>4.4000000000000004</v>
      </c>
      <c r="H101" s="1">
        <v>650.74</v>
      </c>
      <c r="I101" s="1" t="s">
        <v>32</v>
      </c>
      <c r="J101" s="1" t="e">
        <f ca="1">_xludf.XLOOKUP(B101,Restaurants!$A$2:$A$16,Restaurants!$B$2:$B$16,"Unknown")</f>
        <v>#NAME?</v>
      </c>
      <c r="K101" s="1" t="e">
        <f ca="1">_xludf.XLOOKUP(B101,Restaurants!$A$2:$A$16,Restaurants!$D$2:$D$16,"Unknown")</f>
        <v>#NAME?</v>
      </c>
    </row>
    <row r="102" spans="1:11" x14ac:dyDescent="0.3">
      <c r="A102" s="1" t="s">
        <v>327</v>
      </c>
      <c r="B102" s="1" t="s">
        <v>149</v>
      </c>
      <c r="C102" s="1" t="s">
        <v>35</v>
      </c>
      <c r="D102" s="1" t="s">
        <v>151</v>
      </c>
      <c r="E102" s="4">
        <v>46209</v>
      </c>
      <c r="F102" s="1">
        <v>50</v>
      </c>
      <c r="G102" s="1">
        <v>4.0999999999999996</v>
      </c>
      <c r="H102" s="1">
        <v>478.04</v>
      </c>
      <c r="I102" s="1" t="s">
        <v>32</v>
      </c>
      <c r="J102" s="1" t="e">
        <f ca="1">_xludf.XLOOKUP(B102,Restaurants!$A$2:$A$16,Restaurants!$B$2:$B$16,"Unknown")</f>
        <v>#NAME?</v>
      </c>
      <c r="K102" s="1" t="e">
        <f ca="1">_xludf.XLOOKUP(B102,Restaurants!$A$2:$A$16,Restaurants!$D$2:$D$16,"Unknown")</f>
        <v>#NAME?</v>
      </c>
    </row>
    <row r="103" spans="1:11" x14ac:dyDescent="0.3">
      <c r="A103" s="1" t="s">
        <v>328</v>
      </c>
      <c r="B103" s="1" t="s">
        <v>177</v>
      </c>
      <c r="C103" s="1" t="s">
        <v>38</v>
      </c>
      <c r="D103" s="1" t="s">
        <v>155</v>
      </c>
      <c r="E103" s="4">
        <v>46257</v>
      </c>
      <c r="F103" s="1">
        <v>35</v>
      </c>
      <c r="G103" s="1">
        <v>4.3</v>
      </c>
      <c r="H103" s="1">
        <v>384.55</v>
      </c>
      <c r="I103" s="1" t="s">
        <v>32</v>
      </c>
      <c r="J103" s="1" t="e">
        <f ca="1">_xludf.XLOOKUP(B103,Restaurants!$A$2:$A$16,Restaurants!$B$2:$B$16,"Unknown")</f>
        <v>#NAME?</v>
      </c>
      <c r="K103" s="1" t="e">
        <f ca="1">_xludf.XLOOKUP(B103,Restaurants!$A$2:$A$16,Restaurants!$D$2:$D$16,"Unknown")</f>
        <v>#NAME?</v>
      </c>
    </row>
    <row r="104" spans="1:11" x14ac:dyDescent="0.3">
      <c r="A104" s="1" t="s">
        <v>329</v>
      </c>
      <c r="B104" s="1" t="s">
        <v>177</v>
      </c>
      <c r="C104" s="1" t="s">
        <v>31</v>
      </c>
      <c r="D104" s="1" t="s">
        <v>155</v>
      </c>
      <c r="E104" s="4">
        <v>46262</v>
      </c>
      <c r="F104" s="1">
        <v>42</v>
      </c>
      <c r="G104" s="1">
        <v>4.0999999999999996</v>
      </c>
      <c r="H104" s="1">
        <v>813.72</v>
      </c>
      <c r="I104" s="1" t="s">
        <v>42</v>
      </c>
      <c r="J104" s="1" t="e">
        <f ca="1">_xludf.XLOOKUP(B104,Restaurants!$A$2:$A$16,Restaurants!$B$2:$B$16,"Unknown")</f>
        <v>#NAME?</v>
      </c>
      <c r="K104" s="1" t="e">
        <f ca="1">_xludf.XLOOKUP(B104,Restaurants!$A$2:$A$16,Restaurants!$D$2:$D$16,"Unknown")</f>
        <v>#NAME?</v>
      </c>
    </row>
    <row r="105" spans="1:11" x14ac:dyDescent="0.3">
      <c r="A105" s="1" t="s">
        <v>330</v>
      </c>
      <c r="B105" s="1" t="s">
        <v>169</v>
      </c>
      <c r="C105" s="1" t="s">
        <v>41</v>
      </c>
      <c r="D105" s="1" t="s">
        <v>159</v>
      </c>
      <c r="E105" s="4">
        <v>46217</v>
      </c>
      <c r="F105" s="1">
        <v>30</v>
      </c>
      <c r="G105" s="1">
        <v>3.2</v>
      </c>
      <c r="H105" s="1">
        <v>1495.66</v>
      </c>
      <c r="I105" s="1" t="s">
        <v>32</v>
      </c>
      <c r="J105" s="1" t="e">
        <f ca="1">_xludf.XLOOKUP(B105,Restaurants!$A$2:$A$16,Restaurants!$B$2:$B$16,"Unknown")</f>
        <v>#NAME?</v>
      </c>
      <c r="K105" s="1" t="e">
        <f ca="1">_xludf.XLOOKUP(B105,Restaurants!$A$2:$A$16,Restaurants!$D$2:$D$16,"Unknown")</f>
        <v>#NAME?</v>
      </c>
    </row>
    <row r="106" spans="1:11" x14ac:dyDescent="0.3">
      <c r="A106" s="1" t="s">
        <v>331</v>
      </c>
      <c r="B106" s="1" t="s">
        <v>157</v>
      </c>
      <c r="C106" s="1" t="s">
        <v>45</v>
      </c>
      <c r="D106" s="1" t="s">
        <v>159</v>
      </c>
      <c r="E106" s="4">
        <v>46190</v>
      </c>
      <c r="F106" s="1">
        <v>44</v>
      </c>
      <c r="G106" s="1">
        <v>5</v>
      </c>
      <c r="H106" s="1">
        <v>999.73</v>
      </c>
      <c r="I106" s="1" t="s">
        <v>32</v>
      </c>
      <c r="J106" s="1" t="e">
        <f ca="1">_xludf.XLOOKUP(B106,Restaurants!$A$2:$A$16,Restaurants!$B$2:$B$16,"Unknown")</f>
        <v>#NAME?</v>
      </c>
      <c r="K106" s="1" t="e">
        <f ca="1">_xludf.XLOOKUP(B106,Restaurants!$A$2:$A$16,Restaurants!$D$2:$D$16,"Unknown")</f>
        <v>#NAME?</v>
      </c>
    </row>
    <row r="107" spans="1:11" x14ac:dyDescent="0.3">
      <c r="A107" s="1" t="s">
        <v>332</v>
      </c>
      <c r="B107" s="1" t="s">
        <v>171</v>
      </c>
      <c r="C107" s="1" t="s">
        <v>31</v>
      </c>
      <c r="D107" s="1" t="s">
        <v>162</v>
      </c>
      <c r="E107" s="4">
        <v>46259</v>
      </c>
      <c r="F107" s="1">
        <v>43</v>
      </c>
      <c r="G107" s="1">
        <v>4.9000000000000004</v>
      </c>
      <c r="H107" s="1">
        <v>716.88</v>
      </c>
      <c r="I107" s="1" t="s">
        <v>32</v>
      </c>
      <c r="J107" s="1" t="e">
        <f ca="1">_xludf.XLOOKUP(B107,Restaurants!$A$2:$A$16,Restaurants!$B$2:$B$16,"Unknown")</f>
        <v>#NAME?</v>
      </c>
      <c r="K107" s="1" t="e">
        <f ca="1">_xludf.XLOOKUP(B107,Restaurants!$A$2:$A$16,Restaurants!$D$2:$D$16,"Unknown")</f>
        <v>#NAME?</v>
      </c>
    </row>
    <row r="108" spans="1:11" x14ac:dyDescent="0.3">
      <c r="A108" s="1" t="s">
        <v>333</v>
      </c>
      <c r="B108" s="1" t="s">
        <v>165</v>
      </c>
      <c r="C108" s="1" t="s">
        <v>35</v>
      </c>
      <c r="D108" s="1" t="s">
        <v>151</v>
      </c>
      <c r="E108" s="4">
        <v>46244</v>
      </c>
      <c r="F108" s="1">
        <v>53</v>
      </c>
      <c r="G108" s="1">
        <v>3.2</v>
      </c>
      <c r="H108" s="1">
        <v>369.45</v>
      </c>
      <c r="I108" s="1" t="s">
        <v>32</v>
      </c>
      <c r="J108" s="1" t="e">
        <f ca="1">_xludf.XLOOKUP(B108,Restaurants!$A$2:$A$16,Restaurants!$B$2:$B$16,"Unknown")</f>
        <v>#NAME?</v>
      </c>
      <c r="K108" s="1" t="e">
        <f ca="1">_xludf.XLOOKUP(B108,Restaurants!$A$2:$A$16,Restaurants!$D$2:$D$16,"Unknown")</f>
        <v>#NAME?</v>
      </c>
    </row>
    <row r="109" spans="1:11" x14ac:dyDescent="0.3">
      <c r="A109" s="1" t="s">
        <v>334</v>
      </c>
      <c r="B109" s="1" t="s">
        <v>160</v>
      </c>
      <c r="C109" s="1" t="s">
        <v>41</v>
      </c>
      <c r="D109" s="1" t="s">
        <v>162</v>
      </c>
      <c r="E109" s="4">
        <v>46224</v>
      </c>
      <c r="F109" s="1">
        <v>36</v>
      </c>
      <c r="G109" s="1">
        <v>3.8</v>
      </c>
      <c r="H109" s="1">
        <v>819.59</v>
      </c>
      <c r="I109" s="1" t="s">
        <v>32</v>
      </c>
      <c r="J109" s="1" t="e">
        <f ca="1">_xludf.XLOOKUP(B109,Restaurants!$A$2:$A$16,Restaurants!$B$2:$B$16,"Unknown")</f>
        <v>#NAME?</v>
      </c>
      <c r="K109" s="1" t="e">
        <f ca="1">_xludf.XLOOKUP(B109,Restaurants!$A$2:$A$16,Restaurants!$D$2:$D$16,"Unknown")</f>
        <v>#NAME?</v>
      </c>
    </row>
    <row r="110" spans="1:11" x14ac:dyDescent="0.3">
      <c r="A110" s="1" t="s">
        <v>335</v>
      </c>
      <c r="B110" s="1" t="s">
        <v>173</v>
      </c>
      <c r="C110" s="1" t="s">
        <v>35</v>
      </c>
      <c r="D110" s="1" t="s">
        <v>147</v>
      </c>
      <c r="E110" s="4">
        <v>46231</v>
      </c>
      <c r="F110" s="1">
        <v>40</v>
      </c>
      <c r="G110" s="1">
        <v>3.6</v>
      </c>
      <c r="H110" s="1">
        <v>586.76</v>
      </c>
      <c r="I110" s="1" t="s">
        <v>32</v>
      </c>
      <c r="J110" s="1" t="e">
        <f ca="1">_xludf.XLOOKUP(B110,Restaurants!$A$2:$A$16,Restaurants!$B$2:$B$16,"Unknown")</f>
        <v>#NAME?</v>
      </c>
      <c r="K110" s="1" t="e">
        <f ca="1">_xludf.XLOOKUP(B110,Restaurants!$A$2:$A$16,Restaurants!$D$2:$D$16,"Unknown")</f>
        <v>#NAME?</v>
      </c>
    </row>
    <row r="111" spans="1:11" x14ac:dyDescent="0.3">
      <c r="A111" s="1" t="s">
        <v>336</v>
      </c>
      <c r="B111" s="1" t="s">
        <v>153</v>
      </c>
      <c r="C111" s="1" t="s">
        <v>31</v>
      </c>
      <c r="D111" s="1" t="s">
        <v>155</v>
      </c>
      <c r="E111" s="4">
        <v>46256</v>
      </c>
      <c r="F111" s="1">
        <v>34</v>
      </c>
      <c r="G111" s="1">
        <v>3.9</v>
      </c>
      <c r="H111" s="1">
        <v>293.35000000000002</v>
      </c>
      <c r="I111" s="1" t="s">
        <v>32</v>
      </c>
      <c r="J111" s="1" t="e">
        <f ca="1">_xludf.XLOOKUP(B111,Restaurants!$A$2:$A$16,Restaurants!$B$2:$B$16,"Unknown")</f>
        <v>#NAME?</v>
      </c>
      <c r="K111" s="1" t="e">
        <f ca="1">_xludf.XLOOKUP(B111,Restaurants!$A$2:$A$16,Restaurants!$D$2:$D$16,"Unknown")</f>
        <v>#NAME?</v>
      </c>
    </row>
    <row r="112" spans="1:11" x14ac:dyDescent="0.3">
      <c r="A112" s="1" t="s">
        <v>337</v>
      </c>
      <c r="B112" s="1" t="s">
        <v>169</v>
      </c>
      <c r="C112" s="1" t="s">
        <v>38</v>
      </c>
      <c r="D112" s="1" t="s">
        <v>159</v>
      </c>
      <c r="E112" s="4">
        <v>46231</v>
      </c>
      <c r="F112" s="1">
        <v>57</v>
      </c>
      <c r="G112" s="1">
        <v>4</v>
      </c>
      <c r="H112" s="1">
        <v>493.9</v>
      </c>
      <c r="I112" s="1" t="s">
        <v>90</v>
      </c>
      <c r="J112" s="1" t="e">
        <f ca="1">_xludf.XLOOKUP(B112,Restaurants!$A$2:$A$16,Restaurants!$B$2:$B$16,"Unknown")</f>
        <v>#NAME?</v>
      </c>
      <c r="K112" s="1" t="e">
        <f ca="1">_xludf.XLOOKUP(B112,Restaurants!$A$2:$A$16,Restaurants!$D$2:$D$16,"Unknown")</f>
        <v>#NAME?</v>
      </c>
    </row>
    <row r="113" spans="1:11" x14ac:dyDescent="0.3">
      <c r="A113" s="1" t="s">
        <v>338</v>
      </c>
      <c r="B113" s="1" t="s">
        <v>175</v>
      </c>
      <c r="C113" s="1" t="s">
        <v>38</v>
      </c>
      <c r="D113" s="1" t="s">
        <v>151</v>
      </c>
      <c r="E113" s="4">
        <v>46237</v>
      </c>
      <c r="F113" s="1">
        <v>57</v>
      </c>
      <c r="G113" s="1">
        <v>4.9000000000000004</v>
      </c>
      <c r="H113" s="1">
        <v>427.39</v>
      </c>
      <c r="I113" s="1" t="s">
        <v>90</v>
      </c>
      <c r="J113" s="1" t="e">
        <f ca="1">_xludf.XLOOKUP(B113,Restaurants!$A$2:$A$16,Restaurants!$B$2:$B$16,"Unknown")</f>
        <v>#NAME?</v>
      </c>
      <c r="K113" s="1" t="e">
        <f ca="1">_xludf.XLOOKUP(B113,Restaurants!$A$2:$A$16,Restaurants!$D$2:$D$16,"Unknown")</f>
        <v>#NAME?</v>
      </c>
    </row>
    <row r="114" spans="1:11" x14ac:dyDescent="0.3">
      <c r="A114" s="1" t="s">
        <v>339</v>
      </c>
      <c r="B114" s="1" t="s">
        <v>181</v>
      </c>
      <c r="C114" s="1" t="s">
        <v>38</v>
      </c>
      <c r="D114" s="1" t="s">
        <v>162</v>
      </c>
      <c r="E114" s="4">
        <v>46227</v>
      </c>
      <c r="F114" s="1">
        <v>29</v>
      </c>
      <c r="G114" s="1">
        <v>5</v>
      </c>
      <c r="H114" s="1">
        <v>199.6</v>
      </c>
      <c r="I114" s="1" t="s">
        <v>32</v>
      </c>
      <c r="J114" s="1" t="e">
        <f ca="1">_xludf.XLOOKUP(B114,Restaurants!$A$2:$A$16,Restaurants!$B$2:$B$16,"Unknown")</f>
        <v>#NAME?</v>
      </c>
      <c r="K114" s="1" t="e">
        <f ca="1">_xludf.XLOOKUP(B114,Restaurants!$A$2:$A$16,Restaurants!$D$2:$D$16,"Unknown")</f>
        <v>#NAME?</v>
      </c>
    </row>
    <row r="115" spans="1:11" x14ac:dyDescent="0.3">
      <c r="A115" s="1" t="s">
        <v>340</v>
      </c>
      <c r="B115" s="1" t="s">
        <v>169</v>
      </c>
      <c r="C115" s="1" t="s">
        <v>35</v>
      </c>
      <c r="D115" s="1" t="s">
        <v>159</v>
      </c>
      <c r="E115" s="4">
        <v>46191</v>
      </c>
      <c r="F115" s="1">
        <v>43</v>
      </c>
      <c r="G115" s="1">
        <v>3.9</v>
      </c>
      <c r="H115" s="1">
        <v>691.46</v>
      </c>
      <c r="I115" s="1" t="s">
        <v>32</v>
      </c>
      <c r="J115" s="1" t="e">
        <f ca="1">_xludf.XLOOKUP(B115,Restaurants!$A$2:$A$16,Restaurants!$B$2:$B$16,"Unknown")</f>
        <v>#NAME?</v>
      </c>
      <c r="K115" s="1" t="e">
        <f ca="1">_xludf.XLOOKUP(B115,Restaurants!$A$2:$A$16,Restaurants!$D$2:$D$16,"Unknown")</f>
        <v>#NAME?</v>
      </c>
    </row>
    <row r="116" spans="1:11" x14ac:dyDescent="0.3">
      <c r="A116" s="1" t="s">
        <v>341</v>
      </c>
      <c r="B116" s="1" t="s">
        <v>171</v>
      </c>
      <c r="C116" s="1" t="s">
        <v>41</v>
      </c>
      <c r="D116" s="1" t="s">
        <v>162</v>
      </c>
      <c r="E116" s="4">
        <v>46223</v>
      </c>
      <c r="F116" s="1">
        <v>47</v>
      </c>
      <c r="G116" s="1">
        <v>4</v>
      </c>
      <c r="H116" s="1">
        <v>372.62</v>
      </c>
      <c r="I116" s="1" t="s">
        <v>32</v>
      </c>
      <c r="J116" s="1" t="e">
        <f ca="1">_xludf.XLOOKUP(B116,Restaurants!$A$2:$A$16,Restaurants!$B$2:$B$16,"Unknown")</f>
        <v>#NAME?</v>
      </c>
      <c r="K116" s="1" t="e">
        <f ca="1">_xludf.XLOOKUP(B116,Restaurants!$A$2:$A$16,Restaurants!$D$2:$D$16,"Unknown")</f>
        <v>#NAME?</v>
      </c>
    </row>
    <row r="117" spans="1:11" x14ac:dyDescent="0.3">
      <c r="A117" s="1" t="s">
        <v>342</v>
      </c>
      <c r="B117" s="1" t="s">
        <v>157</v>
      </c>
      <c r="C117" s="1" t="s">
        <v>35</v>
      </c>
      <c r="D117" s="1" t="s">
        <v>159</v>
      </c>
      <c r="E117" s="4">
        <v>46181</v>
      </c>
      <c r="F117" s="1">
        <v>62</v>
      </c>
      <c r="G117" s="1">
        <v>3.7</v>
      </c>
      <c r="H117" s="1">
        <v>1094.21</v>
      </c>
      <c r="I117" s="1" t="s">
        <v>90</v>
      </c>
      <c r="J117" s="1" t="e">
        <f ca="1">_xludf.XLOOKUP(B117,Restaurants!$A$2:$A$16,Restaurants!$B$2:$B$16,"Unknown")</f>
        <v>#NAME?</v>
      </c>
      <c r="K117" s="1" t="e">
        <f ca="1">_xludf.XLOOKUP(B117,Restaurants!$A$2:$A$16,Restaurants!$D$2:$D$16,"Unknown")</f>
        <v>#NAME?</v>
      </c>
    </row>
    <row r="118" spans="1:11" x14ac:dyDescent="0.3">
      <c r="A118" s="1" t="s">
        <v>343</v>
      </c>
      <c r="B118" s="1" t="s">
        <v>181</v>
      </c>
      <c r="C118" s="1" t="s">
        <v>35</v>
      </c>
      <c r="D118" s="1" t="s">
        <v>162</v>
      </c>
      <c r="E118" s="4">
        <v>46196</v>
      </c>
      <c r="F118" s="1">
        <v>58</v>
      </c>
      <c r="G118" s="1">
        <v>3.1</v>
      </c>
      <c r="H118" s="1">
        <v>1018.09</v>
      </c>
      <c r="I118" s="1" t="s">
        <v>90</v>
      </c>
      <c r="J118" s="1" t="e">
        <f ca="1">_xludf.XLOOKUP(B118,Restaurants!$A$2:$A$16,Restaurants!$B$2:$B$16,"Unknown")</f>
        <v>#NAME?</v>
      </c>
      <c r="K118" s="1" t="e">
        <f ca="1">_xludf.XLOOKUP(B118,Restaurants!$A$2:$A$16,Restaurants!$D$2:$D$16,"Unknown")</f>
        <v>#NAME?</v>
      </c>
    </row>
    <row r="119" spans="1:11" x14ac:dyDescent="0.3">
      <c r="A119" s="1" t="s">
        <v>344</v>
      </c>
      <c r="B119" s="1" t="s">
        <v>157</v>
      </c>
      <c r="C119" s="1" t="s">
        <v>31</v>
      </c>
      <c r="D119" s="1" t="s">
        <v>159</v>
      </c>
      <c r="E119" s="4">
        <v>46261</v>
      </c>
      <c r="F119" s="1">
        <v>42</v>
      </c>
      <c r="G119" s="1">
        <v>4.5999999999999996</v>
      </c>
      <c r="H119" s="1">
        <v>702.79</v>
      </c>
      <c r="I119" s="1" t="s">
        <v>32</v>
      </c>
      <c r="J119" s="1" t="e">
        <f ca="1">_xludf.XLOOKUP(B119,Restaurants!$A$2:$A$16,Restaurants!$B$2:$B$16,"Unknown")</f>
        <v>#NAME?</v>
      </c>
      <c r="K119" s="1" t="e">
        <f ca="1">_xludf.XLOOKUP(B119,Restaurants!$A$2:$A$16,Restaurants!$D$2:$D$16,"Unknown")</f>
        <v>#NAME?</v>
      </c>
    </row>
    <row r="120" spans="1:11" x14ac:dyDescent="0.3">
      <c r="A120" s="1" t="s">
        <v>345</v>
      </c>
      <c r="B120" s="1" t="s">
        <v>177</v>
      </c>
      <c r="C120" s="1" t="s">
        <v>31</v>
      </c>
      <c r="D120" s="1" t="s">
        <v>155</v>
      </c>
      <c r="E120" s="4">
        <v>46260</v>
      </c>
      <c r="F120" s="1">
        <v>52</v>
      </c>
      <c r="G120" s="1">
        <v>3.6</v>
      </c>
      <c r="H120" s="1">
        <v>587.98</v>
      </c>
      <c r="I120" s="1" t="s">
        <v>32</v>
      </c>
      <c r="J120" s="1" t="e">
        <f ca="1">_xludf.XLOOKUP(B120,Restaurants!$A$2:$A$16,Restaurants!$B$2:$B$16,"Unknown")</f>
        <v>#NAME?</v>
      </c>
      <c r="K120" s="1" t="e">
        <f ca="1">_xludf.XLOOKUP(B120,Restaurants!$A$2:$A$16,Restaurants!$D$2:$D$16,"Unknown")</f>
        <v>#NAME?</v>
      </c>
    </row>
    <row r="121" spans="1:11" x14ac:dyDescent="0.3">
      <c r="A121" s="1" t="s">
        <v>346</v>
      </c>
      <c r="B121" s="1" t="s">
        <v>153</v>
      </c>
      <c r="C121" s="1" t="s">
        <v>45</v>
      </c>
      <c r="D121" s="1" t="s">
        <v>155</v>
      </c>
      <c r="E121" s="4">
        <v>46185</v>
      </c>
      <c r="F121" s="1">
        <v>42</v>
      </c>
      <c r="G121" s="1">
        <v>3.9</v>
      </c>
      <c r="H121" s="1">
        <v>1173.98</v>
      </c>
      <c r="I121" s="1" t="s">
        <v>32</v>
      </c>
      <c r="J121" s="1" t="e">
        <f ca="1">_xludf.XLOOKUP(B121,Restaurants!$A$2:$A$16,Restaurants!$B$2:$B$16,"Unknown")</f>
        <v>#NAME?</v>
      </c>
      <c r="K121" s="1" t="e">
        <f ca="1">_xludf.XLOOKUP(B121,Restaurants!$A$2:$A$16,Restaurants!$D$2:$D$16,"Unknown")</f>
        <v>#NAME?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7" width="35" customWidth="1"/>
  </cols>
  <sheetData>
    <row r="1" spans="1:7" x14ac:dyDescent="0.3">
      <c r="A1" s="2" t="s">
        <v>142</v>
      </c>
      <c r="B1" s="2" t="s">
        <v>379</v>
      </c>
      <c r="C1" s="2" t="s">
        <v>380</v>
      </c>
      <c r="D1" s="2" t="s">
        <v>381</v>
      </c>
      <c r="E1" s="2" t="s">
        <v>382</v>
      </c>
      <c r="F1" s="2" t="s">
        <v>383</v>
      </c>
      <c r="G1" s="2" t="s">
        <v>384</v>
      </c>
    </row>
    <row r="2" spans="1:7" x14ac:dyDescent="0.3">
      <c r="A2" s="1" t="s">
        <v>147</v>
      </c>
      <c r="B2" s="1">
        <f>AVERAGEIF('Capstone Orders'!D2:D121,A2,'Capstone Orders'!F2:F121)</f>
        <v>35.666666666666664</v>
      </c>
      <c r="C2" s="1">
        <f>MEDIAN(IF('Capstone Orders'!D2:D121=A2,'Capstone Orders'!F2:F121))</f>
        <v>38</v>
      </c>
      <c r="D2" s="1" t="e">
        <f ca="1">_xludf.STDEV.S(IF('Capstone Orders'!D2:D121=A2,'Capstone Orders'!F2:F121))</f>
        <v>#NAME?</v>
      </c>
      <c r="E2" s="1">
        <f>AVERAGEIF('Capstone Orders'!D2:D121,A2,'Capstone Orders'!H2:H121)</f>
        <v>885.95166666666671</v>
      </c>
      <c r="F2" s="1" t="e">
        <f ca="1">_xludf.STDEV.S(IF('Capstone Orders'!D2:D121=A2,'Capstone Orders'!H2:H121))</f>
        <v>#NAME?</v>
      </c>
      <c r="G2" s="1" t="str">
        <f>IF(B2&gt;MEDIAN('Capstone Orders'!F2:F121),"Flag","OK")</f>
        <v>OK</v>
      </c>
    </row>
    <row r="3" spans="1:7" x14ac:dyDescent="0.3">
      <c r="A3" s="1" t="s">
        <v>151</v>
      </c>
      <c r="B3" s="1">
        <f>AVERAGEIF('Capstone Orders'!D2:D121,A3,'Capstone Orders'!F2:F121)</f>
        <v>38.916666666666664</v>
      </c>
      <c r="C3" s="1">
        <f>MEDIAN(IF('Capstone Orders'!D2:D121=A3,'Capstone Orders'!F2:F121))</f>
        <v>0</v>
      </c>
      <c r="D3" s="1" t="e">
        <f ca="1">_xludf.STDEV.S(IF('Capstone Orders'!D2:D121=A3,'Capstone Orders'!F2:F121))</f>
        <v>#NAME?</v>
      </c>
      <c r="E3" s="1">
        <f>AVERAGEIF('Capstone Orders'!D2:D121,A3,'Capstone Orders'!H2:H121)</f>
        <v>764.32000000000016</v>
      </c>
      <c r="F3" s="1" t="e">
        <f ca="1">_xludf.STDEV.S(IF('Capstone Orders'!D2:D121=A3,'Capstone Orders'!H2:H121))</f>
        <v>#NAME?</v>
      </c>
      <c r="G3" s="1" t="str">
        <f>IF(B3&gt;MEDIAN('Capstone Orders'!F2:F121),"Flag","OK")</f>
        <v>Flag</v>
      </c>
    </row>
    <row r="4" spans="1:7" x14ac:dyDescent="0.3">
      <c r="A4" s="1" t="s">
        <v>155</v>
      </c>
      <c r="B4" s="1">
        <f>AVERAGEIF('Capstone Orders'!D2:D121,A4,'Capstone Orders'!F2:F121)</f>
        <v>36.043478260869563</v>
      </c>
      <c r="C4" s="1">
        <f>MEDIAN(IF('Capstone Orders'!D2:D121=A4,'Capstone Orders'!F2:F121))</f>
        <v>0</v>
      </c>
      <c r="D4" s="1" t="e">
        <f ca="1">_xludf.STDEV.S(IF('Capstone Orders'!D2:D121=A4,'Capstone Orders'!F2:F121))</f>
        <v>#NAME?</v>
      </c>
      <c r="E4" s="1">
        <f>AVERAGEIF('Capstone Orders'!D2:D121,A4,'Capstone Orders'!H2:H121)</f>
        <v>954.80739130434802</v>
      </c>
      <c r="F4" s="1" t="e">
        <f ca="1">_xludf.STDEV.S(IF('Capstone Orders'!D2:D121=A4,'Capstone Orders'!H2:H121))</f>
        <v>#NAME?</v>
      </c>
      <c r="G4" s="1" t="str">
        <f>IF(B4&gt;MEDIAN('Capstone Orders'!F2:F121),"Flag","OK")</f>
        <v>OK</v>
      </c>
    </row>
    <row r="5" spans="1:7" x14ac:dyDescent="0.3">
      <c r="A5" s="1" t="s">
        <v>159</v>
      </c>
      <c r="B5" s="1">
        <f>AVERAGEIF('Capstone Orders'!D2:D121,A5,'Capstone Orders'!F2:F121)</f>
        <v>35.159999999999997</v>
      </c>
      <c r="C5" s="1">
        <f>MEDIAN(IF('Capstone Orders'!D2:D121=A5,'Capstone Orders'!F2:F121))</f>
        <v>0</v>
      </c>
      <c r="D5" s="1" t="e">
        <f ca="1">_xludf.STDEV.S(IF('Capstone Orders'!D2:D121=A5,'Capstone Orders'!F2:F121))</f>
        <v>#NAME?</v>
      </c>
      <c r="E5" s="1">
        <f>AVERAGEIF('Capstone Orders'!D2:D121,A5,'Capstone Orders'!H2:H121)</f>
        <v>931.75440000000003</v>
      </c>
      <c r="F5" s="1" t="e">
        <f ca="1">_xludf.STDEV.S(IF('Capstone Orders'!D2:D121=A5,'Capstone Orders'!H2:H121))</f>
        <v>#NAME?</v>
      </c>
      <c r="G5" s="1" t="str">
        <f>IF(B5&gt;MEDIAN('Capstone Orders'!F2:F121),"Flag","OK")</f>
        <v>OK</v>
      </c>
    </row>
    <row r="6" spans="1:7" x14ac:dyDescent="0.3">
      <c r="A6" s="1" t="s">
        <v>162</v>
      </c>
      <c r="B6" s="1">
        <f>AVERAGEIF('Capstone Orders'!D2:D121,A6,'Capstone Orders'!F2:F121)</f>
        <v>35.875</v>
      </c>
      <c r="C6" s="1">
        <f>MEDIAN(IF('Capstone Orders'!D2:D121=A6,'Capstone Orders'!F2:F121))</f>
        <v>0</v>
      </c>
      <c r="D6" s="1" t="e">
        <f ca="1">_xludf.STDEV.S(IF('Capstone Orders'!D2:D121=A6,'Capstone Orders'!F2:F121))</f>
        <v>#NAME?</v>
      </c>
      <c r="E6" s="1">
        <f>AVERAGEIF('Capstone Orders'!D2:D121,A6,'Capstone Orders'!H2:H121)</f>
        <v>706.81791666666652</v>
      </c>
      <c r="F6" s="1" t="e">
        <f ca="1">_xludf.STDEV.S(IF('Capstone Orders'!D2:D121=A6,'Capstone Orders'!H2:H121))</f>
        <v>#NAME?</v>
      </c>
      <c r="G6" s="1" t="str">
        <f>IF(B6&gt;MEDIAN('Capstone Orders'!F2:F121),"Flag","OK")</f>
        <v>OK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35" customWidth="1"/>
  </cols>
  <sheetData>
    <row r="1" spans="1:6" ht="23.4" x14ac:dyDescent="0.3">
      <c r="A1" s="5" t="s">
        <v>385</v>
      </c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2" t="s">
        <v>386</v>
      </c>
      <c r="B3" s="2" t="s">
        <v>368</v>
      </c>
      <c r="C3" s="2"/>
      <c r="D3" s="2" t="s">
        <v>387</v>
      </c>
      <c r="E3" s="2" t="s">
        <v>349</v>
      </c>
      <c r="F3" s="2"/>
    </row>
    <row r="4" spans="1:6" x14ac:dyDescent="0.3">
      <c r="A4" s="1" t="s">
        <v>388</v>
      </c>
      <c r="B4" s="1">
        <f>SUM('Capstone Orders'!H2:H121)</f>
        <v>101824.57999999997</v>
      </c>
      <c r="C4" s="1"/>
      <c r="D4" s="1"/>
      <c r="E4" s="1"/>
      <c r="F4" s="1"/>
    </row>
    <row r="5" spans="1:6" x14ac:dyDescent="0.3">
      <c r="A5" s="1" t="s">
        <v>389</v>
      </c>
      <c r="B5" s="1">
        <f>AVERAGE('Capstone Orders'!G2:G121)</f>
        <v>4.145833333333333</v>
      </c>
      <c r="C5" s="1"/>
      <c r="D5" s="1"/>
      <c r="E5" s="1"/>
      <c r="F5" s="1"/>
    </row>
    <row r="6" spans="1:6" x14ac:dyDescent="0.3">
      <c r="A6" s="1" t="s">
        <v>390</v>
      </c>
      <c r="B6" s="1">
        <f>COUNTIFS('Capstone Orders'!I2:I121,"Delivered",'Capstone Orders'!F2:F121,"&lt;=40")/COUNTA('Capstone Orders'!A2:A121)</f>
        <v>0.53333333333333333</v>
      </c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 t="s">
        <v>391</v>
      </c>
      <c r="B8" s="1" t="s">
        <v>349</v>
      </c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 t="s">
        <v>392</v>
      </c>
      <c r="B10" s="1"/>
      <c r="C10" s="1"/>
      <c r="D10" s="1"/>
      <c r="E10" s="1"/>
      <c r="F10" s="1"/>
    </row>
    <row r="11" spans="1:6" x14ac:dyDescent="0.3">
      <c r="A11" s="2" t="s">
        <v>23</v>
      </c>
      <c r="B11" s="2" t="s">
        <v>147</v>
      </c>
      <c r="C11" s="2" t="s">
        <v>151</v>
      </c>
      <c r="D11" s="2" t="s">
        <v>155</v>
      </c>
      <c r="E11" s="2" t="s">
        <v>159</v>
      </c>
      <c r="F11" s="2" t="s">
        <v>162</v>
      </c>
    </row>
    <row r="12" spans="1:6" x14ac:dyDescent="0.3">
      <c r="A12" s="1" t="s">
        <v>31</v>
      </c>
      <c r="B12" s="1">
        <f>SUMIFS('Capstone Orders'!H2:H121,'Capstone Orders'!C2:C121,$A12,'Capstone Orders'!D2:D121,B$11)</f>
        <v>3342.1200000000003</v>
      </c>
      <c r="C12" s="1">
        <f>SUMIFS('Capstone Orders'!H2:H121,'Capstone Orders'!C2:C121,$A12,'Capstone Orders'!D2:D121,C$11)</f>
        <v>2282.8900000000003</v>
      </c>
      <c r="D12" s="1">
        <f>SUMIFS('Capstone Orders'!H2:H121,'Capstone Orders'!C2:C121,$A12,'Capstone Orders'!D2:D121,D$11)</f>
        <v>4638.55</v>
      </c>
      <c r="E12" s="1">
        <f>SUMIFS('Capstone Orders'!H2:H121,'Capstone Orders'!C2:C121,$A12,'Capstone Orders'!D2:D121,E$11)</f>
        <v>2105.9700000000003</v>
      </c>
      <c r="F12" s="1">
        <f>SUMIFS('Capstone Orders'!H2:H121,'Capstone Orders'!C2:C121,$A12,'Capstone Orders'!D2:D121,F$11)</f>
        <v>3432.71</v>
      </c>
    </row>
    <row r="13" spans="1:6" x14ac:dyDescent="0.3">
      <c r="A13" s="1" t="s">
        <v>35</v>
      </c>
      <c r="B13" s="1">
        <f>SUMIFS('Capstone Orders'!H2:H121,'Capstone Orders'!C2:C121,$A13,'Capstone Orders'!D2:D121,B$11)</f>
        <v>4503.7</v>
      </c>
      <c r="C13" s="1">
        <f>SUMIFS('Capstone Orders'!H2:H121,'Capstone Orders'!C2:C121,$A13,'Capstone Orders'!D2:D121,C$11)</f>
        <v>3175.68</v>
      </c>
      <c r="D13" s="1">
        <f>SUMIFS('Capstone Orders'!H2:H121,'Capstone Orders'!C2:C121,$A13,'Capstone Orders'!D2:D121,D$11)</f>
        <v>8890.17</v>
      </c>
      <c r="E13" s="1">
        <f>SUMIFS('Capstone Orders'!H2:H121,'Capstone Orders'!C2:C121,$A13,'Capstone Orders'!D2:D121,E$11)</f>
        <v>8197.92</v>
      </c>
      <c r="F13" s="1">
        <f>SUMIFS('Capstone Orders'!H2:H121,'Capstone Orders'!C2:C121,$A13,'Capstone Orders'!D2:D121,F$11)</f>
        <v>3773.3900000000003</v>
      </c>
    </row>
    <row r="14" spans="1:6" x14ac:dyDescent="0.3">
      <c r="A14" s="1" t="s">
        <v>38</v>
      </c>
      <c r="B14" s="1">
        <f>SUMIFS('Capstone Orders'!H2:H121,'Capstone Orders'!C2:C121,$A14,'Capstone Orders'!D2:D121,B$11)</f>
        <v>4803.0300000000007</v>
      </c>
      <c r="C14" s="1">
        <f>SUMIFS('Capstone Orders'!H2:H121,'Capstone Orders'!C2:C121,$A14,'Capstone Orders'!D2:D121,C$11)</f>
        <v>5817.28</v>
      </c>
      <c r="D14" s="1">
        <f>SUMIFS('Capstone Orders'!H2:H121,'Capstone Orders'!C2:C121,$A14,'Capstone Orders'!D2:D121,D$11)</f>
        <v>3597.75</v>
      </c>
      <c r="E14" s="1">
        <f>SUMIFS('Capstone Orders'!H2:H121,'Capstone Orders'!C2:C121,$A14,'Capstone Orders'!D2:D121,E$11)</f>
        <v>3488.64</v>
      </c>
      <c r="F14" s="1">
        <f>SUMIFS('Capstone Orders'!H2:H121,'Capstone Orders'!C2:C121,$A14,'Capstone Orders'!D2:D121,F$11)</f>
        <v>3001.5099999999998</v>
      </c>
    </row>
    <row r="15" spans="1:6" x14ac:dyDescent="0.3">
      <c r="A15" s="1" t="s">
        <v>41</v>
      </c>
      <c r="B15" s="1">
        <f>SUMIFS('Capstone Orders'!H2:H121,'Capstone Orders'!C2:C121,$A15,'Capstone Orders'!D2:D121,B$11)</f>
        <v>1750.38</v>
      </c>
      <c r="C15" s="1">
        <f>SUMIFS('Capstone Orders'!H2:H121,'Capstone Orders'!C2:C121,$A15,'Capstone Orders'!D2:D121,C$11)</f>
        <v>5336.68</v>
      </c>
      <c r="D15" s="1">
        <f>SUMIFS('Capstone Orders'!H2:H121,'Capstone Orders'!C2:C121,$A15,'Capstone Orders'!D2:D121,D$11)</f>
        <v>1558.3899999999999</v>
      </c>
      <c r="E15" s="1">
        <f>SUMIFS('Capstone Orders'!H2:H121,'Capstone Orders'!C2:C121,$A15,'Capstone Orders'!D2:D121,E$11)</f>
        <v>3478.91</v>
      </c>
      <c r="F15" s="1">
        <f>SUMIFS('Capstone Orders'!H2:H121,'Capstone Orders'!C2:C121,$A15,'Capstone Orders'!D2:D121,F$11)</f>
        <v>3605.66</v>
      </c>
    </row>
    <row r="16" spans="1:6" x14ac:dyDescent="0.3">
      <c r="A16" s="1" t="s">
        <v>45</v>
      </c>
      <c r="B16" s="1">
        <f>SUMIFS('Capstone Orders'!H2:H121,'Capstone Orders'!C2:C121,$A16,'Capstone Orders'!D2:D121,B$11)</f>
        <v>6863.61</v>
      </c>
      <c r="C16" s="1">
        <f>SUMIFS('Capstone Orders'!H2:H121,'Capstone Orders'!C2:C121,$A16,'Capstone Orders'!D2:D121,C$11)</f>
        <v>1731.15</v>
      </c>
      <c r="D16" s="1">
        <f>SUMIFS('Capstone Orders'!H2:H121,'Capstone Orders'!C2:C121,$A16,'Capstone Orders'!D2:D121,D$11)</f>
        <v>3275.71</v>
      </c>
      <c r="E16" s="1">
        <f>SUMIFS('Capstone Orders'!H2:H121,'Capstone Orders'!C2:C121,$A16,'Capstone Orders'!D2:D121,E$11)</f>
        <v>6022.42</v>
      </c>
      <c r="F16" s="1">
        <f>SUMIFS('Capstone Orders'!H2:H121,'Capstone Orders'!C2:C121,$A16,'Capstone Orders'!D2:D121,F$11)</f>
        <v>3150.3599999999997</v>
      </c>
    </row>
  </sheetData>
  <dataValidations count="2">
    <dataValidation type="list" sqref="B8" xr:uid="{00000000-0002-0000-0E00-000000000000}">
      <formula1>"All,North,South,East,West,Central"</formula1>
    </dataValidation>
    <dataValidation type="list" sqref="E3" xr:uid="{00000000-0002-0000-0E00-000001000000}">
      <formula1>"All,Aug-2026,Jul-2026,Jun-2026"</formula1>
    </dataValidation>
  </dataValidation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2" max="2" width="110" customWidth="1"/>
  </cols>
  <sheetData>
    <row r="1" spans="1:2" x14ac:dyDescent="0.3">
      <c r="A1" s="2" t="s">
        <v>393</v>
      </c>
      <c r="B1" s="2" t="s">
        <v>394</v>
      </c>
    </row>
    <row r="2" spans="1:2" x14ac:dyDescent="0.3">
      <c r="A2" s="1" t="s">
        <v>395</v>
      </c>
      <c r="B2" s="1" t="s">
        <v>396</v>
      </c>
    </row>
    <row r="3" spans="1:2" x14ac:dyDescent="0.3">
      <c r="A3" s="1" t="s">
        <v>397</v>
      </c>
      <c r="B3" s="1" t="s">
        <v>398</v>
      </c>
    </row>
    <row r="4" spans="1:2" x14ac:dyDescent="0.3">
      <c r="A4" s="1" t="s">
        <v>399</v>
      </c>
      <c r="B4" s="1" t="s">
        <v>398</v>
      </c>
    </row>
    <row r="5" spans="1:2" x14ac:dyDescent="0.3">
      <c r="A5" s="1" t="s">
        <v>400</v>
      </c>
      <c r="B5" s="1" t="s">
        <v>401</v>
      </c>
    </row>
    <row r="6" spans="1:2" x14ac:dyDescent="0.3">
      <c r="A6" s="1" t="s">
        <v>402</v>
      </c>
      <c r="B6" s="1" t="s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Sheet1</vt:lpstr>
      <vt:lpstr>Section A Answers</vt:lpstr>
      <vt:lpstr>Task 1 Orders</vt:lpstr>
      <vt:lpstr>Premium Orders</vt:lpstr>
      <vt:lpstr>Restaurants</vt:lpstr>
      <vt:lpstr>Task 2 Orders</vt:lpstr>
      <vt:lpstr>Task 3 Orders</vt:lpstr>
      <vt:lpstr>Task 3 Pivot 1</vt:lpstr>
      <vt:lpstr>Task 3 Pivot 2</vt:lpstr>
      <vt:lpstr>Task 3 Slicer Timeline</vt:lpstr>
      <vt:lpstr>Task 4 Orders</vt:lpstr>
      <vt:lpstr>Stats Summary</vt:lpstr>
      <vt:lpstr>Capstone Orders</vt:lpstr>
      <vt:lpstr>Zone Stats</vt:lpstr>
      <vt:lpstr>Dashboard</vt:lpstr>
      <vt:lpstr>Section D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Roshni mall</cp:lastModifiedBy>
  <dcterms:created xsi:type="dcterms:W3CDTF">2026-09-30T09:40:58Z</dcterms:created>
  <dcterms:modified xsi:type="dcterms:W3CDTF">2026-09-30T10:17:15Z</dcterms:modified>
</cp:coreProperties>
</file>